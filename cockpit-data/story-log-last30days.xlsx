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aw Data"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0294D"/>
      <sz val="14"/>
    </font>
    <font>
      <name val="Arial"/>
      <i val="1"/>
      <color rgb="004A5E72"/>
      <sz val="9"/>
    </font>
    <font>
      <name val="Arial"/>
      <b val="1"/>
      <sz val="10"/>
    </font>
    <font>
      <name val="Arial"/>
      <b val="1"/>
      <color rgb="00FFFFFF"/>
      <sz val="11"/>
    </font>
    <font>
      <name val="Arial"/>
      <sz val="10"/>
    </font>
  </fonts>
  <fills count="3">
    <fill>
      <patternFill/>
    </fill>
    <fill>
      <patternFill patternType="gray125"/>
    </fill>
    <fill>
      <patternFill patternType="solid">
        <fgColor rgb="0000294D"/>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34" customWidth="1" min="1" max="1"/>
    <col width="14" customWidth="1" min="2" max="2"/>
  </cols>
  <sheetData>
    <row r="1">
      <c r="A1" s="1" t="inlineStr">
        <is>
          <t>Industry Intelligence Cockpit — Story Log (Last 30 Days)</t>
        </is>
      </c>
    </row>
    <row r="2">
      <c r="A2" s="2" t="inlineStr">
        <is>
          <t>Window: 2026-08-27 to 2026-09-26  |  Generated: 2026-09-26</t>
        </is>
      </c>
    </row>
    <row r="4">
      <c r="A4" s="3" t="inlineStr">
        <is>
          <t>Counts by Vertical</t>
        </is>
      </c>
    </row>
    <row r="5">
      <c r="A5" s="4" t="inlineStr">
        <is>
          <t>Vertical</t>
        </is>
      </c>
      <c r="B5" s="4" t="inlineStr">
        <is>
          <t>Story Count</t>
        </is>
      </c>
    </row>
    <row r="6">
      <c r="A6" s="5" t="inlineStr">
        <is>
          <t>Life &amp; Annuities</t>
        </is>
      </c>
      <c r="B6" s="5">
        <f>COUNTIF('Raw Data'!$B$2:$B$5000,A6)</f>
        <v/>
      </c>
    </row>
    <row r="7">
      <c r="A7" s="5" t="inlineStr">
        <is>
          <t>Retirement</t>
        </is>
      </c>
      <c r="B7" s="5">
        <f>COUNTIF('Raw Data'!$B$2:$B$5000,A7)</f>
        <v/>
      </c>
    </row>
    <row r="8">
      <c r="A8" s="5" t="inlineStr">
        <is>
          <t>Investments</t>
        </is>
      </c>
      <c r="B8" s="5">
        <f>COUNTIF('Raw Data'!$B$2:$B$5000,A8)</f>
        <v/>
      </c>
    </row>
    <row r="9">
      <c r="A9" s="5" t="inlineStr">
        <is>
          <t>Wealth Management</t>
        </is>
      </c>
      <c r="B9" s="5">
        <f>COUNTIF('Raw Data'!$B$2:$B$5000,A9)</f>
        <v/>
      </c>
    </row>
    <row r="10">
      <c r="A10" s="5" t="inlineStr">
        <is>
          <t>Property &amp; Casualty</t>
        </is>
      </c>
      <c r="B10" s="5">
        <f>COUNTIF('Raw Data'!$B$2:$B$5000,A10)</f>
        <v/>
      </c>
    </row>
    <row r="11">
      <c r="A11" s="5" t="inlineStr">
        <is>
          <t>Brokers &amp; MGA/GA</t>
        </is>
      </c>
      <c r="B11" s="5">
        <f>COUNTIF('Raw Data'!$B$2:$B$5000,A11)</f>
        <v/>
      </c>
    </row>
    <row r="12">
      <c r="A12" s="5" t="inlineStr">
        <is>
          <t>TPA</t>
        </is>
      </c>
      <c r="B12" s="5">
        <f>COUNTIF('Raw Data'!$B$2:$B$5000,A12)</f>
        <v/>
      </c>
    </row>
    <row r="13">
      <c r="A13" s="5" t="inlineStr">
        <is>
          <t>FinTech</t>
        </is>
      </c>
      <c r="B13" s="5">
        <f>COUNTIF('Raw Data'!$B$2:$B$5000,A13)</f>
        <v/>
      </c>
    </row>
    <row r="14">
      <c r="A14" s="5" t="inlineStr">
        <is>
          <t>BrokerTech</t>
        </is>
      </c>
      <c r="B14" s="5">
        <f>COUNTIF('Raw Data'!$B$2:$B$5000,A14)</f>
        <v/>
      </c>
    </row>
    <row r="15">
      <c r="A15" s="5" t="inlineStr">
        <is>
          <t>Insurtech</t>
        </is>
      </c>
      <c r="B15" s="5">
        <f>COUNTIF('Raw Data'!$B$2:$B$5000,A15)</f>
        <v/>
      </c>
    </row>
    <row r="16">
      <c r="A16" s="5" t="inlineStr">
        <is>
          <t>Health Insurance / Payer</t>
        </is>
      </c>
      <c r="B16" s="5">
        <f>COUNTIF('Raw Data'!$B$2:$B$5000,A16)</f>
        <v/>
      </c>
    </row>
    <row r="17">
      <c r="A17" s="5" t="inlineStr">
        <is>
          <t>Healthcare / Provider &amp; Clinical</t>
        </is>
      </c>
      <c r="B17" s="5">
        <f>COUNTIF('Raw Data'!$B$2:$B$5000,A17)</f>
        <v/>
      </c>
    </row>
    <row r="18">
      <c r="A18" s="3" t="inlineStr">
        <is>
          <t>Total</t>
        </is>
      </c>
      <c r="B18" s="3">
        <f>SUM(B6:B17)</f>
        <v/>
      </c>
    </row>
    <row r="21">
      <c r="A21" s="3" t="inlineStr">
        <is>
          <t>Counts by Lens</t>
        </is>
      </c>
    </row>
    <row r="22">
      <c r="A22" s="4" t="inlineStr">
        <is>
          <t>Lens</t>
        </is>
      </c>
      <c r="B22" s="4" t="inlineStr">
        <is>
          <t>Story Count</t>
        </is>
      </c>
    </row>
    <row r="23">
      <c r="A23" s="5" t="inlineStr">
        <is>
          <t>M&amp;A</t>
        </is>
      </c>
      <c r="B23" s="5">
        <f>COUNTIF('Raw Data'!$C$2:$C$5000,A23)</f>
        <v/>
      </c>
    </row>
    <row r="24">
      <c r="A24" s="5" t="inlineStr">
        <is>
          <t>Investments &amp; Funding</t>
        </is>
      </c>
      <c r="B24" s="5">
        <f>COUNTIF('Raw Data'!$C$2:$C$5000,A24)</f>
        <v/>
      </c>
    </row>
    <row r="25">
      <c r="A25" s="5" t="inlineStr">
        <is>
          <t>Technology &amp; AI</t>
        </is>
      </c>
      <c r="B25" s="5">
        <f>COUNTIF('Raw Data'!$C$2:$C$5000,A25)</f>
        <v/>
      </c>
    </row>
    <row r="26">
      <c r="A26" s="5" t="inlineStr">
        <is>
          <t>Market Economics</t>
        </is>
      </c>
      <c r="B26" s="5">
        <f>COUNTIF('Raw Data'!$C$2:$C$5000,A26)</f>
        <v/>
      </c>
    </row>
    <row r="27">
      <c r="A27" s="5" t="inlineStr">
        <is>
          <t>Regulatory &amp; Policy</t>
        </is>
      </c>
      <c r="B27" s="5">
        <f>COUNTIF('Raw Data'!$C$2:$C$5000,A27)</f>
        <v/>
      </c>
    </row>
    <row r="28">
      <c r="A28" s="5" t="inlineStr">
        <is>
          <t>People &amp; Leadership</t>
        </is>
      </c>
      <c r="B28" s="5">
        <f>COUNTIF('Raw Data'!$C$2:$C$5000,A28)</f>
        <v/>
      </c>
    </row>
    <row r="29">
      <c r="A29" s="3" t="inlineStr">
        <is>
          <t>Total</t>
        </is>
      </c>
      <c r="B29" s="3">
        <f>SUM(B23:B28)</f>
        <v/>
      </c>
    </row>
    <row r="32">
      <c r="A32" s="3" t="inlineStr">
        <is>
          <t>Counts by Week (week starting)</t>
        </is>
      </c>
    </row>
    <row r="33">
      <c r="A33" s="4" t="inlineStr">
        <is>
          <t>Week Of</t>
        </is>
      </c>
      <c r="B33" s="4" t="inlineStr">
        <is>
          <t>Story Count</t>
        </is>
      </c>
    </row>
    <row r="34">
      <c r="A34" s="5" t="inlineStr">
        <is>
          <t>2026-09-21</t>
        </is>
      </c>
      <c r="B34" s="5">
        <f>COUNTIFS('Raw Data'!$A$2:$A$5000,"&gt;="&amp;"2026-09-21",'Raw Data'!$A$2:$A$5000,"&lt;="&amp;"2026-09-27")</f>
        <v/>
      </c>
    </row>
    <row r="35">
      <c r="A35" s="3" t="inlineStr">
        <is>
          <t>Total</t>
        </is>
      </c>
      <c r="B35" s="3">
        <f>SUM(B34:B34)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20" customWidth="1" min="3" max="3"/>
    <col width="16" customWidth="1" min="4" max="4"/>
    <col width="46" customWidth="1" min="5" max="5"/>
    <col width="60" customWidth="1" min="6" max="6"/>
    <col width="20" customWidth="1" min="7" max="7"/>
    <col width="40" customWidth="1" min="8" max="8"/>
    <col width="12" customWidth="1" min="9" max="9"/>
  </cols>
  <sheetData>
    <row r="1">
      <c r="A1" s="4" t="inlineStr">
        <is>
          <t>date_added</t>
        </is>
      </c>
      <c r="B1" s="4" t="inlineStr">
        <is>
          <t>vertical</t>
        </is>
      </c>
      <c r="C1" s="4" t="inlineStr">
        <is>
          <t>lens</t>
        </is>
      </c>
      <c r="D1" s="4" t="inlineStr">
        <is>
          <t>geography</t>
        </is>
      </c>
      <c r="E1" s="4" t="inlineStr">
        <is>
          <t>headline</t>
        </is>
      </c>
      <c r="F1" s="4" t="inlineStr">
        <is>
          <t>summary</t>
        </is>
      </c>
      <c r="G1" s="4" t="inlineStr">
        <is>
          <t>source_name</t>
        </is>
      </c>
      <c r="H1" s="4" t="inlineStr">
        <is>
          <t>source_url</t>
        </is>
      </c>
      <c r="I1" s="4" t="inlineStr">
        <is>
          <t>story_date</t>
        </is>
      </c>
    </row>
    <row r="2">
      <c r="A2" s="6" t="inlineStr">
        <is>
          <t>2026-09-26</t>
        </is>
      </c>
      <c r="B2" s="6" t="inlineStr">
        <is>
          <t>Life &amp; Annuities</t>
        </is>
      </c>
      <c r="C2" s="6" t="inlineStr">
        <is>
          <t>Market Economics</t>
        </is>
      </c>
      <c r="D2" s="6" t="inlineStr">
        <is>
          <t>United States</t>
        </is>
      </c>
      <c r="E2" s="6" t="inlineStr">
        <is>
          <t>US life/annuity insurers' first-half 2026 net income slips as premiums and annuity considerations soften</t>
        </is>
      </c>
      <c r="F2" s="6" t="inlineStr">
        <is>
          <t>AM Best's latest special report shows total industry income fell 8.1% in H1 2026 versus a year earlier as premiums and annuity considerations declined, pulling pretax operating gains down more than 10% even after expense cuts.</t>
        </is>
      </c>
      <c r="G2" s="6" t="inlineStr">
        <is>
          <t>AM Best / InsuranceNewsNet</t>
        </is>
      </c>
      <c r="H2" s="6" t="inlineStr">
        <is>
          <t>https://insurancenewsnet.com/oarticle/bests-special-report-first-half-2026-net-income-in-u-s-life-annuity-insurance-industry-dips-slightly</t>
        </is>
      </c>
      <c r="I2" s="6" t="inlineStr">
        <is>
          <t>2026-09-15</t>
        </is>
      </c>
    </row>
    <row r="3">
      <c r="A3" s="6" t="inlineStr">
        <is>
          <t>2026-09-26</t>
        </is>
      </c>
      <c r="B3" s="6" t="inlineStr">
        <is>
          <t>Life &amp; Annuities</t>
        </is>
      </c>
      <c r="C3" s="6" t="inlineStr">
        <is>
          <t>Market Economics</t>
        </is>
      </c>
      <c r="D3" s="6" t="inlineStr">
        <is>
          <t>United States</t>
        </is>
      </c>
      <c r="E3" s="6" t="inlineStr">
        <is>
          <t>LIMRA and LOMA launch September campaign to close the life insurance awareness gap</t>
        </is>
      </c>
      <c r="F3" s="6" t="inlineStr">
        <is>
          <t>The trade groups' Life Insurance Awareness Month push aims to educate consumers on how life coverage protects family finances, as carriers look to counter persistently stagnant ownership rates.</t>
        </is>
      </c>
      <c r="G3" s="6" t="inlineStr">
        <is>
          <t>LIMRA</t>
        </is>
      </c>
      <c r="H3" s="6" t="inlineStr">
        <is>
          <t>https://www.limra.com/en/newsroom/life-insurance-awareness-month-2026/</t>
        </is>
      </c>
      <c r="I3" s="6" t="inlineStr">
        <is>
          <t>2026-09-01</t>
        </is>
      </c>
    </row>
    <row r="4">
      <c r="A4" s="6" t="inlineStr">
        <is>
          <t>2026-09-26</t>
        </is>
      </c>
      <c r="B4" s="6" t="inlineStr">
        <is>
          <t>Life &amp; Annuities</t>
        </is>
      </c>
      <c r="C4" s="6" t="inlineStr">
        <is>
          <t>Regulatory &amp; Policy</t>
        </is>
      </c>
      <c r="D4" s="6" t="inlineStr">
        <is>
          <t>UK/Europe</t>
        </is>
      </c>
      <c r="E4" s="6" t="inlineStr">
        <is>
          <t>Brussels agrees to push back high-risk AI Act rules for life and health insurance pricing to late 2027</t>
        </is>
      </c>
      <c r="F4" s="6" t="inlineStr">
        <is>
          <t>A political deal on the 'AI Omnibus' extends compliance deadlines for high-risk AI systems used in life and health insurance underwriting and pricing from August 2026 to December 2027, giving insurers more runway to adapt.</t>
        </is>
      </c>
      <c r="G4" s="6" t="inlineStr">
        <is>
          <t>Decode the Future</t>
        </is>
      </c>
      <c r="H4" s="6" t="inlineStr">
        <is>
          <t>https://decodethefuture.org/en/eu-ai-act-explained/</t>
        </is>
      </c>
      <c r="I4" s="6" t="inlineStr">
        <is>
          <t>2026-07-27</t>
        </is>
      </c>
    </row>
    <row r="5">
      <c r="A5" s="6" t="inlineStr">
        <is>
          <t>2026-09-26</t>
        </is>
      </c>
      <c r="B5" s="6" t="inlineStr">
        <is>
          <t>Retirement</t>
        </is>
      </c>
      <c r="C5" s="6" t="inlineStr">
        <is>
          <t>Market Economics</t>
        </is>
      </c>
      <c r="D5" s="6" t="inlineStr">
        <is>
          <t>United States</t>
        </is>
      </c>
      <c r="E5" s="6" t="inlineStr">
        <is>
          <t>Pooled Employer Plan adoption jumps 45% as recordkeepers make PEPs a growth priority</t>
        </is>
      </c>
      <c r="F5" s="6" t="inlineStr">
        <is>
          <t>New survey data shows 10,797 employers have now adopted PEPs for their 401(k) or 403(b) participants, up from 7,454 a year earlier, with most recordkeepers calling PEPs a major strategic priority for 2026.</t>
        </is>
      </c>
      <c r="G5" s="6" t="inlineStr">
        <is>
          <t>PLANADVISER</t>
        </is>
      </c>
      <c r="H5" s="6" t="inlineStr">
        <is>
          <t>https://www.planadviser.com/recordkeepers-prioritize-peps-to-spur-growth/</t>
        </is>
      </c>
      <c r="I5" s="6" t="inlineStr">
        <is>
          <t>2026-09-18</t>
        </is>
      </c>
    </row>
    <row r="6">
      <c r="A6" s="6" t="inlineStr">
        <is>
          <t>2026-09-26</t>
        </is>
      </c>
      <c r="B6" s="6" t="inlineStr">
        <is>
          <t>Retirement</t>
        </is>
      </c>
      <c r="C6" s="6" t="inlineStr">
        <is>
          <t>M&amp;A</t>
        </is>
      </c>
      <c r="D6" s="6" t="inlineStr">
        <is>
          <t>United States</t>
        </is>
      </c>
      <c r="E6" s="6" t="inlineStr">
        <is>
          <t>Advisors brace for the next wave of 401(k) recordkeeper consolidation</t>
        </is>
      </c>
      <c r="F6" s="6" t="inlineStr">
        <is>
          <t>Continued fee pressure and provider exits are pushing retirement recordkeeping toward further consolidation, creating transition risk for advisors and their plan-sponsor clients as due-diligence reviews accelerate.</t>
        </is>
      </c>
      <c r="G6" s="6" t="inlineStr">
        <is>
          <t>WealthManagement.com</t>
        </is>
      </c>
      <c r="H6" s="6" t="inlineStr">
        <is>
          <t>https://www.wealthmanagement.com/rpa-news/how-to-prepare-for-the-next-wave-of-401-k-record-keeper-consolidation</t>
        </is>
      </c>
      <c r="I6" s="6" t="inlineStr">
        <is>
          <t>2026-09-10</t>
        </is>
      </c>
    </row>
    <row r="7">
      <c r="A7" s="6" t="inlineStr">
        <is>
          <t>2026-09-26</t>
        </is>
      </c>
      <c r="B7" s="6" t="inlineStr">
        <is>
          <t>Investments</t>
        </is>
      </c>
      <c r="C7" s="6" t="inlineStr">
        <is>
          <t>Market Economics</t>
        </is>
      </c>
      <c r="D7" s="6" t="inlineStr">
        <is>
          <t>United States</t>
        </is>
      </c>
      <c r="E7" s="6" t="inlineStr">
        <is>
          <t>AIG looks to private assets to reignite investment income growth</t>
        </is>
      </c>
      <c r="F7" s="6" t="inlineStr">
        <is>
          <t>AIG plans to raise its private-asset allocation to counter slowing investment income, telling investors it expects net investment income to resume growth by 2027 as it diversifies away from public fixed income.</t>
        </is>
      </c>
      <c r="G7" s="6" t="inlineStr">
        <is>
          <t>Insurance Asset Risk</t>
        </is>
      </c>
      <c r="H7" s="6" t="inlineStr">
        <is>
          <t>https://www.insuranceassetrisk.com/content/news/aig-to-increase-private-assets-allocation-to-boost-slowing-investment-income.html</t>
        </is>
      </c>
      <c r="I7" s="6" t="inlineStr">
        <is>
          <t>2026-09-17</t>
        </is>
      </c>
    </row>
    <row r="8">
      <c r="A8" s="6" t="inlineStr">
        <is>
          <t>2026-09-26</t>
        </is>
      </c>
      <c r="B8" s="6" t="inlineStr">
        <is>
          <t>Investments</t>
        </is>
      </c>
      <c r="C8" s="6" t="inlineStr">
        <is>
          <t>Market Economics</t>
        </is>
      </c>
      <c r="D8" s="6" t="inlineStr">
        <is>
          <t>United States</t>
        </is>
      </c>
      <c r="E8" s="6" t="inlineStr">
        <is>
          <t>Target-date fund assets surge to $4.8 trillion as collective trusts overtake mutual funds</t>
        </is>
      </c>
      <c r="F8" s="6" t="inlineStr">
        <is>
          <t>Morningstar's 2026 landscape report finds TDF assets grew more than 20% year-over-year, with five firms controlling 80% of the market and lower-cost collective investment trusts cementing their lead as the default retirement vehicle.</t>
        </is>
      </c>
      <c r="G8" s="6" t="inlineStr">
        <is>
          <t>Morningstar / 401(k) Specialist</t>
        </is>
      </c>
      <c r="H8" s="6" t="inlineStr">
        <is>
          <t>https://401kspecialistmag.com/4-8-trillion-and-growing-why-traditional-tdfs-are-still-key-to-401k-success/</t>
        </is>
      </c>
      <c r="I8" s="6" t="inlineStr">
        <is>
          <t>2026-09-12</t>
        </is>
      </c>
    </row>
    <row r="9">
      <c r="A9" s="6" t="inlineStr">
        <is>
          <t>2026-09-26</t>
        </is>
      </c>
      <c r="B9" s="6" t="inlineStr">
        <is>
          <t>Wealth Management</t>
        </is>
      </c>
      <c r="C9" s="6" t="inlineStr">
        <is>
          <t>M&amp;A</t>
        </is>
      </c>
      <c r="D9" s="6" t="inlineStr">
        <is>
          <t>United States</t>
        </is>
      </c>
      <c r="E9" s="6" t="inlineStr">
        <is>
          <t>Vanguard to acquire RIA custodian Altruist in a shake-up of advisor custody</t>
        </is>
      </c>
      <c r="F9" s="6" t="inlineStr">
        <is>
          <t>Vanguard's purchase of Altruist marks a retreat from the custodian's advisor-only positioning and signals further consolidation among platforms built to serve independent RIAs exclusively.</t>
        </is>
      </c>
      <c r="G9" s="6" t="inlineStr">
        <is>
          <t>Kitces.com</t>
        </is>
      </c>
      <c r="H9" s="6" t="inlineStr">
        <is>
          <t>https://www.kitces.com/blog/the-latest-in-financial-advisortech-september-2026-altruist-vanguard-acquisition-ria-custodian-finny-slant-finturk-pontera/</t>
        </is>
      </c>
      <c r="I9" s="6" t="inlineStr">
        <is>
          <t>2026-09-24</t>
        </is>
      </c>
    </row>
    <row r="10">
      <c r="A10" s="6" t="inlineStr">
        <is>
          <t>2026-09-26</t>
        </is>
      </c>
      <c r="B10" s="6" t="inlineStr">
        <is>
          <t>Wealth Management</t>
        </is>
      </c>
      <c r="C10" s="6" t="inlineStr">
        <is>
          <t>Technology &amp; AI</t>
        </is>
      </c>
      <c r="D10" s="6" t="inlineStr">
        <is>
          <t>United States</t>
        </is>
      </c>
      <c r="E10" s="6" t="inlineStr">
        <is>
          <t>Savvy Wealth debuts AI-native custodial platform for independent RIAs</t>
        </is>
      </c>
      <c r="F10" s="6" t="inlineStr">
        <is>
          <t>The AI-focused wealth platform's new custodial offering lets RIA owners onboard clients in as little as 90 seconds and transfer assets in a few clicks, aiming to compete directly with legacy custodians.</t>
        </is>
      </c>
      <c r="G10" s="6" t="inlineStr">
        <is>
          <t>Fintech Global</t>
        </is>
      </c>
      <c r="H10" s="6" t="inlineStr">
        <is>
          <t>https://fintech.global/2026/09/25/savvy-wealth-unveils-custodial-platform-for-independent-rias/</t>
        </is>
      </c>
      <c r="I10" s="6" t="inlineStr">
        <is>
          <t>2026-09-25</t>
        </is>
      </c>
    </row>
    <row r="11">
      <c r="A11" s="6" t="inlineStr">
        <is>
          <t>2026-09-26</t>
        </is>
      </c>
      <c r="B11" s="6" t="inlineStr">
        <is>
          <t>Property &amp; Casualty</t>
        </is>
      </c>
      <c r="C11" s="6" t="inlineStr">
        <is>
          <t>Market Economics</t>
        </is>
      </c>
      <c r="D11" s="6" t="inlineStr">
        <is>
          <t>United States</t>
        </is>
      </c>
      <c r="E11" s="6" t="inlineStr">
        <is>
          <t>US P&amp;C industry posts $31.7 billion underwriting gain in H1 2026 as premium growth cools</t>
        </is>
      </c>
      <c r="F11" s="6" t="inlineStr">
        <is>
          <t>Net income after taxes rose 53% to $77.8 billion even as net written premium growth slowed to 2.1%, with commercial rates easing for the first time in nearly nine years while casualty lines stay under pressure.</t>
        </is>
      </c>
      <c r="G11" s="6" t="inlineStr">
        <is>
          <t>Carrier Management</t>
        </is>
      </c>
      <c r="H11" s="6" t="inlineStr">
        <is>
          <t>https://www.carriermanagement.com/news/2026/09/03/291650.htm</t>
        </is>
      </c>
      <c r="I11" s="6" t="inlineStr">
        <is>
          <t>2026-09-03</t>
        </is>
      </c>
    </row>
    <row r="12">
      <c r="A12" s="6" t="inlineStr">
        <is>
          <t>2026-09-26</t>
        </is>
      </c>
      <c r="B12" s="6" t="inlineStr">
        <is>
          <t>Property &amp; Casualty</t>
        </is>
      </c>
      <c r="C12" s="6" t="inlineStr">
        <is>
          <t>Market Economics</t>
        </is>
      </c>
      <c r="D12" s="6" t="inlineStr">
        <is>
          <t>Global</t>
        </is>
      </c>
      <c r="E12" s="6" t="inlineStr">
        <is>
          <t>Reinsurance buyers push ILS investors to broaden mandates as capacity floods the market</t>
        </is>
      </c>
      <c r="F12" s="6" t="inlineStr">
        <is>
          <t>Speaking at the Monte Carlo Rendez-Vous, Marsh Securities' CEO warned that alternative-capital investors risk losing relevance with cedents unless they widen their risk appetite in a softening reinsurance market.</t>
        </is>
      </c>
      <c r="G12" s="6" t="inlineStr">
        <is>
          <t>Artemis.bm</t>
        </is>
      </c>
      <c r="H12" s="6" t="inlineStr">
        <is>
          <t>https://www.artemis.bm/news/best-of-artemis-week-ending-september-20th-2026/</t>
        </is>
      </c>
      <c r="I12" s="6" t="inlineStr">
        <is>
          <t>2026-09-20</t>
        </is>
      </c>
    </row>
    <row r="13">
      <c r="A13" s="6" t="inlineStr">
        <is>
          <t>2026-09-26</t>
        </is>
      </c>
      <c r="B13" s="6" t="inlineStr">
        <is>
          <t>Property &amp; Casualty</t>
        </is>
      </c>
      <c r="C13" s="6" t="inlineStr">
        <is>
          <t>Investments &amp; Funding</t>
        </is>
      </c>
      <c r="D13" s="6" t="inlineStr">
        <is>
          <t>United States</t>
        </is>
      </c>
      <c r="E13" s="6" t="inlineStr">
        <is>
          <t>Palomar secures $410 million cat bond via new Torrey Pines Re vehicle</t>
        </is>
      </c>
      <c r="F13" s="6" t="inlineStr">
        <is>
          <t>The specialty P&amp;C insurer tapped the catastrophe bond market for $410 million of reinsurance protection, adding to a record year for cat bond issuance amid abundant capacity from institutional investors.</t>
        </is>
      </c>
      <c r="G13" s="6" t="inlineStr">
        <is>
          <t>Artemis.bm</t>
        </is>
      </c>
      <c r="H13" s="6" t="inlineStr">
        <is>
          <t>https://www.artemis.bm/news/palomar-secures-410m-of-reinsurance-from-torrey-pines-re-2026-1-catastrophe-bond/</t>
        </is>
      </c>
      <c r="I13" s="6" t="inlineStr">
        <is>
          <t>2026-09-19</t>
        </is>
      </c>
    </row>
    <row r="14">
      <c r="A14" s="6" t="inlineStr">
        <is>
          <t>2026-09-26</t>
        </is>
      </c>
      <c r="B14" s="6" t="inlineStr">
        <is>
          <t>Property &amp; Casualty</t>
        </is>
      </c>
      <c r="C14" s="6" t="inlineStr">
        <is>
          <t>Market Economics</t>
        </is>
      </c>
      <c r="D14" s="6" t="inlineStr">
        <is>
          <t>United States</t>
        </is>
      </c>
      <c r="E14" s="6" t="inlineStr">
        <is>
          <t>Domestic cyber claims jump 40% as years of pricing softness come to an end</t>
        </is>
      </c>
      <c r="F14" s="6" t="inlineStr">
        <is>
          <t>Nearly 50,000 cyber claims were filed in the past year as attackers shift from ransomware encryption to data-theft extortion, with analysts predicting premiums could rise 15-20% after three years of falling rates.</t>
        </is>
      </c>
      <c r="G14" s="6" t="inlineStr">
        <is>
          <t>Security Today</t>
        </is>
      </c>
      <c r="H14" s="6" t="inlineStr">
        <is>
          <t>https://securitytoday.com/articles/2026/09/23/cyber-insurance-costs-set-to-rise-amid-surging-claims.aspx</t>
        </is>
      </c>
      <c r="I14" s="6" t="inlineStr">
        <is>
          <t>2026-09-23</t>
        </is>
      </c>
    </row>
    <row r="15">
      <c r="A15" s="6" t="inlineStr">
        <is>
          <t>2026-09-26</t>
        </is>
      </c>
      <c r="B15" s="6" t="inlineStr">
        <is>
          <t>Property &amp; Casualty</t>
        </is>
      </c>
      <c r="C15" s="6" t="inlineStr">
        <is>
          <t>Market Economics</t>
        </is>
      </c>
      <c r="D15" s="6" t="inlineStr">
        <is>
          <t>APAC</t>
        </is>
      </c>
      <c r="E15" s="6" t="inlineStr">
        <is>
          <t>Swiss Re warns global catastrophe losses could hit $320 billion in a severe 2026 scenario</t>
        </is>
      </c>
      <c r="F15" s="6" t="inlineStr">
        <is>
          <t>The reinsurer's latest projection flags data-centre and renewable-energy exposures as emerging growth areas even as APAC insurers navigate a tougher catastrophe and geopolitical risk environment.</t>
        </is>
      </c>
      <c r="G15" s="6" t="inlineStr">
        <is>
          <t>Insurance Business Australia</t>
        </is>
      </c>
      <c r="H15" s="6" t="inlineStr">
        <is>
          <t>https://www.insurancebusinessmag.com/au/news/breaking-news/apac-insurers-confront-geopolitics-catastrophes-and-ai-in-2026-563640.aspx</t>
        </is>
      </c>
      <c r="I15" s="6" t="inlineStr">
        <is>
          <t>2026-09-16</t>
        </is>
      </c>
    </row>
    <row r="16">
      <c r="A16" s="6" t="inlineStr">
        <is>
          <t>2026-09-26</t>
        </is>
      </c>
      <c r="B16" s="6" t="inlineStr">
        <is>
          <t>Property &amp; Casualty</t>
        </is>
      </c>
      <c r="C16" s="6" t="inlineStr">
        <is>
          <t>People &amp; Leadership</t>
        </is>
      </c>
      <c r="D16" s="6" t="inlineStr">
        <is>
          <t>United States</t>
        </is>
      </c>
      <c r="E16" s="6" t="inlineStr">
        <is>
          <t>AIG names Sierra Signorelli CEO of the Americas and global personal insurance</t>
        </is>
      </c>
      <c r="F16" s="6" t="inlineStr">
        <is>
          <t>The former Zurich executive will oversee AIG's North America, Latin America and Caribbean commercial business plus its global personal lines starting January 2027, in one of the year's biggest carrier leadership moves.</t>
        </is>
      </c>
      <c r="G16" s="6" t="inlineStr">
        <is>
          <t>The Insurer</t>
        </is>
      </c>
      <c r="H16" s="6" t="inlineStr">
        <is>
          <t>https://www.theinsurer.com/ti/news/aig-names-signorelli-ceo-of-americas-and-global-personal-insurance-2026-09-21/</t>
        </is>
      </c>
      <c r="I16" s="6" t="inlineStr">
        <is>
          <t>2026-09-21</t>
        </is>
      </c>
    </row>
    <row r="17">
      <c r="A17" s="6" t="inlineStr">
        <is>
          <t>2026-09-26</t>
        </is>
      </c>
      <c r="B17" s="6" t="inlineStr">
        <is>
          <t>Property &amp; Casualty</t>
        </is>
      </c>
      <c r="C17" s="6" t="inlineStr">
        <is>
          <t>People &amp; Leadership</t>
        </is>
      </c>
      <c r="D17" s="6" t="inlineStr">
        <is>
          <t>APAC</t>
        </is>
      </c>
      <c r="E17" s="6" t="inlineStr">
        <is>
          <t>HDI Global adds three underwriting and risk hires as it expands in Singapore</t>
        </is>
      </c>
      <c r="F17" s="6" t="inlineStr">
        <is>
          <t>The commercial specialty insurer strengthened its international-programmes and political-and-credit-risk teams in Singapore as it pushes further into APAC captive and renewable-energy business.</t>
        </is>
      </c>
      <c r="G17" s="6" t="inlineStr">
        <is>
          <t>(Re)in Asia</t>
        </is>
      </c>
      <c r="H17" s="6" t="inlineStr">
        <is>
          <t>https://reinasia.com/hdi-global-expands-singapore-underwriting-capabilities-with-three-appointments/</t>
        </is>
      </c>
      <c r="I17" s="6" t="inlineStr">
        <is>
          <t>2026-09-22</t>
        </is>
      </c>
    </row>
    <row r="18">
      <c r="A18" s="6" t="inlineStr">
        <is>
          <t>2026-09-26</t>
        </is>
      </c>
      <c r="B18" s="6" t="inlineStr">
        <is>
          <t>Property &amp; Casualty</t>
        </is>
      </c>
      <c r="C18" s="6" t="inlineStr">
        <is>
          <t>Regulatory &amp; Policy</t>
        </is>
      </c>
      <c r="D18" s="6" t="inlineStr">
        <is>
          <t>UK/Europe</t>
        </is>
      </c>
      <c r="E18" s="6" t="inlineStr">
        <is>
          <t>PRA and FCA hold roundtable on tailored UK captive insurance regime</t>
        </is>
      </c>
      <c r="F18" s="6" t="inlineStr">
        <is>
          <t>Regulators discussed proposals for a bespoke, lower-capital regulatory track for single-parent captives, part of a UK push to become a more competitive captive insurance domicile; the consultation closes in mid-October.</t>
        </is>
      </c>
      <c r="G18" s="6" t="inlineStr">
        <is>
          <t>Bank of England</t>
        </is>
      </c>
      <c r="H18" s="6" t="inlineStr">
        <is>
          <t>https://www.bankofengland.co.uk/prudential-regulation/publication/2026/august/pra-holds-captive-insurance-industry-roundtable</t>
        </is>
      </c>
      <c r="I18" s="6" t="inlineStr">
        <is>
          <t>2026-09-17</t>
        </is>
      </c>
    </row>
    <row r="19">
      <c r="A19" s="6" t="inlineStr">
        <is>
          <t>2026-09-26</t>
        </is>
      </c>
      <c r="B19" s="6" t="inlineStr">
        <is>
          <t>Brokers &amp; MGA/GA</t>
        </is>
      </c>
      <c r="C19" s="6" t="inlineStr">
        <is>
          <t>M&amp;A</t>
        </is>
      </c>
      <c r="D19" s="6" t="inlineStr">
        <is>
          <t>United States</t>
        </is>
      </c>
      <c r="E19" s="6" t="inlineStr">
        <is>
          <t>Sequel buys Austin-based Watkins Insurance Group as agency M&amp;A pace cools</t>
        </is>
      </c>
      <c r="F19" s="6" t="inlineStr">
        <is>
          <t>The deal comes as US insurance-agency acquisition volume slowed roughly 15% year-over-year in the first half of 2026, according to OPTIS Partners, even as strategic and private-equity-backed buyers keep consolidating.</t>
        </is>
      </c>
      <c r="G19" s="6" t="inlineStr">
        <is>
          <t>Insurance Journal</t>
        </is>
      </c>
      <c r="H19" s="6" t="inlineStr">
        <is>
          <t>https://www.insurancejournal.com/magazines/mag-features/2026/09/21/885532.htm</t>
        </is>
      </c>
      <c r="I19" s="6" t="inlineStr">
        <is>
          <t>2026-09-21</t>
        </is>
      </c>
    </row>
    <row r="20">
      <c r="A20" s="6" t="inlineStr">
        <is>
          <t>2026-09-26</t>
        </is>
      </c>
      <c r="B20" s="6" t="inlineStr">
        <is>
          <t>Brokers &amp; MGA/GA</t>
        </is>
      </c>
      <c r="C20" s="6" t="inlineStr">
        <is>
          <t>M&amp;A</t>
        </is>
      </c>
      <c r="D20" s="6" t="inlineStr">
        <is>
          <t>United States</t>
        </is>
      </c>
      <c r="E20" s="6" t="inlineStr">
        <is>
          <t>SIAA completes acquisition of Insurance Agents Alliance of Texas</t>
        </is>
      </c>
      <c r="F20" s="6" t="inlineStr">
        <is>
          <t>The agency-network aggregator's purchase of the smaller regional Texas network adds to a busy year of agency-network roll-ups despite an overall slowdown in broader deal count.</t>
        </is>
      </c>
      <c r="G20" s="6" t="inlineStr">
        <is>
          <t>Insurance Journal</t>
        </is>
      </c>
      <c r="H20" s="6" t="inlineStr">
        <is>
          <t>https://www.insurancejournal.com/magazines/mag-features/2026/09/21/885532.htm</t>
        </is>
      </c>
      <c r="I20" s="6" t="inlineStr">
        <is>
          <t>2026-09-21</t>
        </is>
      </c>
    </row>
    <row r="21">
      <c r="A21" s="6" t="inlineStr">
        <is>
          <t>2026-09-26</t>
        </is>
      </c>
      <c r="B21" s="6" t="inlineStr">
        <is>
          <t>Brokers &amp; MGA/GA</t>
        </is>
      </c>
      <c r="C21" s="6" t="inlineStr">
        <is>
          <t>Technology &amp; AI</t>
        </is>
      </c>
      <c r="D21" s="6" t="inlineStr">
        <is>
          <t>United States</t>
        </is>
      </c>
      <c r="E21" s="6" t="inlineStr">
        <is>
          <t>CRC Group bundles cyber, tech E&amp;O and professional liability into one policy form</t>
        </is>
      </c>
      <c r="F21" s="6" t="inlineStr">
        <is>
          <t>The wholesale broker's new Insurisk Cyber solution combines several specialty coverages into a single streamlined form as clients look to simplify buying amid rising cyber rates.</t>
        </is>
      </c>
      <c r="G21" s="6" t="inlineStr">
        <is>
          <t>The Insurer</t>
        </is>
      </c>
      <c r="H21" s="6" t="inlineStr">
        <is>
          <t>https://www.theinsurer.com/cyber-risk/news/crc-launches-insurisk-cyber-solution-2026-09-22/</t>
        </is>
      </c>
      <c r="I21" s="6" t="inlineStr">
        <is>
          <t>2026-09-22</t>
        </is>
      </c>
    </row>
    <row r="22">
      <c r="A22" s="6" t="inlineStr">
        <is>
          <t>2026-09-26</t>
        </is>
      </c>
      <c r="B22" s="6" t="inlineStr">
        <is>
          <t>TPA</t>
        </is>
      </c>
      <c r="C22" s="6" t="inlineStr">
        <is>
          <t>Technology &amp; AI</t>
        </is>
      </c>
      <c r="D22" s="6" t="inlineStr">
        <is>
          <t>Global</t>
        </is>
      </c>
      <c r="E22" s="6" t="inlineStr">
        <is>
          <t>VCA Software and Vitesse link claims management directly to insurance payments</t>
        </is>
      </c>
      <c r="F22" s="6" t="inlineStr">
        <is>
          <t>The partnership lets carriers, MGAs and TPAs move from claim approval to payout inside a single workflow, with Lloyd's delegated-authority payment controls carrying through automatically instead of requiring manual re-entry.</t>
        </is>
      </c>
      <c r="G22" s="6" t="inlineStr">
        <is>
          <t>VCA Software</t>
        </is>
      </c>
      <c r="H22" s="6" t="inlineStr">
        <is>
          <t>https://vcasoftware.com/vca-software-and-vitesse-announce-strategic-partnership-to-connect-claims-management-and-insurance-payments/</t>
        </is>
      </c>
      <c r="I22" s="6" t="inlineStr">
        <is>
          <t>2026-09-16</t>
        </is>
      </c>
    </row>
    <row r="23">
      <c r="A23" s="6" t="inlineStr">
        <is>
          <t>2026-09-26</t>
        </is>
      </c>
      <c r="B23" s="6" t="inlineStr">
        <is>
          <t>FinTech</t>
        </is>
      </c>
      <c r="C23" s="6" t="inlineStr">
        <is>
          <t>Investments &amp; Funding</t>
        </is>
      </c>
      <c r="D23" s="6" t="inlineStr">
        <is>
          <t>UK/Europe</t>
        </is>
      </c>
      <c r="E23" s="6" t="inlineStr">
        <is>
          <t>FintechOS raises fresh funding to fund US expansion after turning profitable</t>
        </is>
      </c>
      <c r="F23" s="6" t="inlineStr">
        <is>
          <t>The financial-services technology platform, used by insurers and banks to build digital products, confirmed it turned profitable while lifting recurring revenue 40% year-on-year, and will use new capital to grow in the US.</t>
        </is>
      </c>
      <c r="G23" s="6" t="inlineStr">
        <is>
          <t>Fintech Global</t>
        </is>
      </c>
      <c r="H23" s="6" t="inlineStr">
        <is>
          <t>https://fintech.global/2026/09/21/fintechos-raises-28m-to-fund-us-expansion/</t>
        </is>
      </c>
      <c r="I23" s="6" t="inlineStr">
        <is>
          <t>2026-09-21</t>
        </is>
      </c>
    </row>
    <row r="24">
      <c r="A24" s="6" t="inlineStr">
        <is>
          <t>2026-09-26</t>
        </is>
      </c>
      <c r="B24" s="6" t="inlineStr">
        <is>
          <t>FinTech</t>
        </is>
      </c>
      <c r="C24" s="6" t="inlineStr">
        <is>
          <t>Technology &amp; AI</t>
        </is>
      </c>
      <c r="D24" s="6" t="inlineStr">
        <is>
          <t>Global</t>
        </is>
      </c>
      <c r="E24" s="6" t="inlineStr">
        <is>
          <t>Open and Embedded Insurance Observatory convenes carriers and banks on distribution's next phase</t>
        </is>
      </c>
      <c r="F24" s="6" t="inlineStr">
        <is>
          <t>A plenary session at AWS's New York headquarters brought together AXA Partners, Allianz Partners, AIG, Swisscom, Vodafone Fastweb and others to discuss where open and embedded insurance is headed next.</t>
        </is>
      </c>
      <c r="G24" s="6" t="inlineStr">
        <is>
          <t>Open &amp; Embedded Insurance Observatory</t>
        </is>
      </c>
      <c r="H24" s="6" t="inlineStr">
        <is>
          <t>https://openinsuranceobs.substack.com/p/the-monthly-newsletter-of-the-open-fae</t>
        </is>
      </c>
      <c r="I24" s="6" t="inlineStr">
        <is>
          <t>2026-09-22</t>
        </is>
      </c>
    </row>
    <row r="25">
      <c r="A25" s="6" t="inlineStr">
        <is>
          <t>2026-09-26</t>
        </is>
      </c>
      <c r="B25" s="6" t="inlineStr">
        <is>
          <t>BrokerTech</t>
        </is>
      </c>
      <c r="C25" s="6" t="inlineStr">
        <is>
          <t>Technology &amp; AI</t>
        </is>
      </c>
      <c r="D25" s="6" t="inlineStr">
        <is>
          <t>United States</t>
        </is>
      </c>
      <c r="E25" s="6" t="inlineStr">
        <is>
          <t>BrokerTech Connect: Chicago draws brokers, carriers and insurtechs for AI-focused sessions</t>
        </is>
      </c>
      <c r="F25" s="6" t="inlineStr">
        <is>
          <t>The two-day event brought together brokerage C-suite leaders, carriers, wholesalers and venture investors for sessions on AI, change management and next-generation digital-first insurance organizations.</t>
        </is>
      </c>
      <c r="G25" s="6" t="inlineStr">
        <is>
          <t>PR Newswire / BrokerTech Ventures</t>
        </is>
      </c>
      <c r="H25" s="6" t="inlineStr">
        <is>
          <t>https://www.prnewswire.com/news-releases/brokertech-connect-chicago-set-for-august-31september-2-announces-growing-sponsor-lineup-and-industry-programming-302848488.html</t>
        </is>
      </c>
      <c r="I25" s="6" t="inlineStr">
        <is>
          <t>2026-08-31</t>
        </is>
      </c>
    </row>
    <row r="26">
      <c r="A26" s="6" t="inlineStr">
        <is>
          <t>2026-09-26</t>
        </is>
      </c>
      <c r="B26" s="6" t="inlineStr">
        <is>
          <t>Insurtech</t>
        </is>
      </c>
      <c r="C26" s="6" t="inlineStr">
        <is>
          <t>Investments &amp; Funding</t>
        </is>
      </c>
      <c r="D26" s="6" t="inlineStr">
        <is>
          <t>United States</t>
        </is>
      </c>
      <c r="E26" s="6" t="inlineStr">
        <is>
          <t>Soteris raises $8 million seed round to plug hidden P&amp;C profit leaks with machine learning</t>
        </is>
      </c>
      <c r="F26" s="6" t="inlineStr">
        <is>
          <t>The YC-backed startup's round was led by Spider Capital with participation from Intact Private Capital, Amplify Partners, DCVC, the Webb Investment Network and Overlook Ventures.</t>
        </is>
      </c>
      <c r="G26" s="6" t="inlineStr">
        <is>
          <t>Fintech Global</t>
        </is>
      </c>
      <c r="H26" s="6" t="inlineStr">
        <is>
          <t>https://fintech.global/2026/09/22/soteris-raises-8m-seed-to-fix-hidden-pc-profit-leaks/</t>
        </is>
      </c>
      <c r="I26" s="6" t="inlineStr">
        <is>
          <t>2026-09-22</t>
        </is>
      </c>
    </row>
    <row r="27">
      <c r="A27" s="6" t="inlineStr">
        <is>
          <t>2026-09-26</t>
        </is>
      </c>
      <c r="B27" s="6" t="inlineStr">
        <is>
          <t>Insurtech</t>
        </is>
      </c>
      <c r="C27" s="6" t="inlineStr">
        <is>
          <t>Investments &amp; Funding</t>
        </is>
      </c>
      <c r="D27" s="6" t="inlineStr">
        <is>
          <t>UK/Europe</t>
        </is>
      </c>
      <c r="E27" s="6" t="inlineStr">
        <is>
          <t>European insurtech funding triples to nearly $1 billion in H1 2026</t>
        </is>
      </c>
      <c r="F27" s="6" t="inlineStr">
        <is>
          <t>Companies raised $985.9 million across 27 deals in the first half of 2026, a threefold jump versus H1 2025, with deals of $100 million or more accounting for two-thirds of the total as AI-native platforms dominate.</t>
        </is>
      </c>
      <c r="G27" s="6" t="inlineStr">
        <is>
          <t>Finovate</t>
        </is>
      </c>
      <c r="H27" s="6" t="inlineStr">
        <is>
          <t>https://finovate.com/insurtech-2026-raising-capital-leveraging-ai-and-a-look-at-finovates-insurtech-alums/</t>
        </is>
      </c>
      <c r="I27" s="6" t="inlineStr">
        <is>
          <t>2026-09-17</t>
        </is>
      </c>
    </row>
    <row r="28">
      <c r="A28" s="6" t="inlineStr">
        <is>
          <t>2026-09-26</t>
        </is>
      </c>
      <c r="B28" s="6" t="inlineStr">
        <is>
          <t>Insurtech</t>
        </is>
      </c>
      <c r="C28" s="6" t="inlineStr">
        <is>
          <t>Regulatory &amp; Policy</t>
        </is>
      </c>
      <c r="D28" s="6" t="inlineStr">
        <is>
          <t>India</t>
        </is>
      </c>
      <c r="E28" s="6" t="inlineStr">
        <is>
          <t>Indian insurtech and insurer stocks crash as IRDAI proposes sweeping distribution overhaul</t>
        </is>
      </c>
      <c r="F28" s="6" t="inlineStr">
        <is>
          <t>PB Fintech (Policybazaar) and Turtlemint Fintech tumbled roughly 20-30% after IRDAI floated capping insurer expense-of-management ratios and tightening commission and loan-bundling rules, also hitting HDFC Life and ICICI Prudential Life shares.</t>
        </is>
      </c>
      <c r="G28" s="6" t="inlineStr">
        <is>
          <t>Investing.com</t>
        </is>
      </c>
      <c r="H28" s="6" t="inlineStr">
        <is>
          <t>https://www.investing.com/news/stock-market-news/indian-insurance-stocks-crash-on-regulatory-overhaul-fears-4914440</t>
        </is>
      </c>
      <c r="I28" s="6" t="inlineStr">
        <is>
          <t>2026-09-24</t>
        </is>
      </c>
    </row>
    <row r="29">
      <c r="A29" s="6" t="inlineStr">
        <is>
          <t>2026-09-26</t>
        </is>
      </c>
      <c r="B29" s="6" t="inlineStr">
        <is>
          <t>Health Insurance / Payer</t>
        </is>
      </c>
      <c r="C29" s="6" t="inlineStr">
        <is>
          <t>Market Economics</t>
        </is>
      </c>
      <c r="D29" s="6" t="inlineStr">
        <is>
          <t>United States</t>
        </is>
      </c>
      <c r="E29" s="6" t="inlineStr">
        <is>
          <t>Employers brace for a 15-year-high jump in group health benefit costs as ACA marketplace enrollment falls</t>
        </is>
      </c>
      <c r="F29" s="6" t="inlineStr">
        <is>
          <t>Purchaser surveys point to 6-7% premium increases for 2026 even as more than 1 million fewer people enrolled in ACA marketplace coverage than in 2025, a gap expected to widen as subsidy changes take hold.</t>
        </is>
      </c>
      <c r="G29" s="6" t="inlineStr">
        <is>
          <t>SHRM</t>
        </is>
      </c>
      <c r="H29" s="6" t="inlineStr">
        <is>
          <t>https://www.shrm.org/topics-tools/news/benefits-compensation/employers-brace-15-year-high-health-benefit-cost-hike</t>
        </is>
      </c>
      <c r="I29" s="6" t="inlineStr">
        <is>
          <t>2026-09-10</t>
        </is>
      </c>
    </row>
    <row r="30">
      <c r="A30" s="6" t="inlineStr">
        <is>
          <t>2026-09-26</t>
        </is>
      </c>
      <c r="B30" s="6" t="inlineStr">
        <is>
          <t>Healthcare / Provider &amp; Clinical</t>
        </is>
      </c>
      <c r="C30" s="6" t="inlineStr">
        <is>
          <t>M&amp;A</t>
        </is>
      </c>
      <c r="D30" s="6" t="inlineStr">
        <is>
          <t>United States</t>
        </is>
      </c>
      <c r="E30" s="6" t="inlineStr">
        <is>
          <t>WVU Medicine set to close $800 million acquisition of five-hospital Independence Health System</t>
        </is>
      </c>
      <c r="F30" s="6" t="inlineStr">
        <is>
          <t>The deal, expected to close in late September or early October, will bring the combined system to 30 hospitals and more than $8 billion in annual operating revenue, with $800 million earmarked for facility upgrades.</t>
        </is>
      </c>
      <c r="G30" s="6" t="inlineStr">
        <is>
          <t>Becker's Hospital Review</t>
        </is>
      </c>
      <c r="H30" s="6" t="inlineStr">
        <is>
          <t>https://www.beckershospitalreview.com/hospital-transactions-and-valuation/wvu-health-system-to-acquire-5-hospital-pennsylvania-system/</t>
        </is>
      </c>
      <c r="I30" s="6" t="inlineStr">
        <is>
          <t>2026-09-20</t>
        </is>
      </c>
    </row>
    <row r="31">
      <c r="A31" s="6" t="inlineStr">
        <is>
          <t>2026-09-26</t>
        </is>
      </c>
      <c r="B31" s="6" t="inlineStr">
        <is>
          <t>Healthcare / Provider &amp; Clinical</t>
        </is>
      </c>
      <c r="C31" s="6" t="inlineStr">
        <is>
          <t>Technology &amp; AI</t>
        </is>
      </c>
      <c r="D31" s="6" t="inlineStr">
        <is>
          <t>United States</t>
        </is>
      </c>
      <c r="E31" s="6" t="inlineStr">
        <is>
          <t>VA awards Abridge a $775 million enterprise contract for ambient clinical documentation</t>
        </is>
      </c>
      <c r="F31" s="6" t="inlineStr">
        <is>
          <t>The Department of Veterans Affairs selected Abridge's ambient AI scribe technology in one of the largest healthcare AI contracts of the year, as adoption of clinical documentation AI accelerates across large health systems.</t>
        </is>
      </c>
      <c r="G31" s="6" t="inlineStr">
        <is>
          <t>HIStalk</t>
        </is>
      </c>
      <c r="H31" s="6" t="inlineStr">
        <is>
          <t>https://histalk2.com/2026/09/23/healthcare-ai-news-9-23-26/</t>
        </is>
      </c>
      <c r="I31" s="6" t="inlineStr">
        <is>
          <t>2026-09-22</t>
        </is>
      </c>
    </row>
    <row r="32">
      <c r="A32" s="6" t="inlineStr">
        <is>
          <t>2026-09-26</t>
        </is>
      </c>
      <c r="B32" s="6" t="inlineStr">
        <is>
          <t>Healthcare / Provider &amp; Clinical</t>
        </is>
      </c>
      <c r="C32" s="6" t="inlineStr">
        <is>
          <t>Investments &amp; Funding</t>
        </is>
      </c>
      <c r="D32" s="6" t="inlineStr">
        <is>
          <t>APAC</t>
        </is>
      </c>
      <c r="E32" s="6" t="inlineStr">
        <is>
          <t>Clinical AI scribe Heidi closes $340 million round at a $900 million valuation</t>
        </is>
      </c>
      <c r="F32" s="6" t="inlineStr">
        <is>
          <t>The fundraise underscores continued investor appetite for ambient documentation and clinical-workflow AI tools even as health systems scrutinize the technology's cost and coding impact.</t>
        </is>
      </c>
      <c r="G32" s="6" t="inlineStr">
        <is>
          <t>HIStalk</t>
        </is>
      </c>
      <c r="H32" s="6" t="inlineStr">
        <is>
          <t>https://histalk2.com/2026/09/23/healthcare-ai-news-9-23-26/</t>
        </is>
      </c>
      <c r="I32" s="6" t="inlineStr">
        <is>
          <t>2026-09-22</t>
        </is>
      </c>
    </row>
    <row r="33">
      <c r="A33" s="6" t="inlineStr">
        <is>
          <t>2026-09-26</t>
        </is>
      </c>
      <c r="B33" s="6" t="inlineStr">
        <is>
          <t>Healthcare / Provider &amp; Clinical</t>
        </is>
      </c>
      <c r="C33" s="6" t="inlineStr">
        <is>
          <t>Regulatory &amp; Policy</t>
        </is>
      </c>
      <c r="D33" s="6" t="inlineStr">
        <is>
          <t>United States</t>
        </is>
      </c>
      <c r="E33" s="6" t="inlineStr">
        <is>
          <t>Hackensack Meridian Health completes first Joint Commission AI certification review</t>
        </is>
      </c>
      <c r="F33" s="6" t="inlineStr">
        <is>
          <t>The review covered the health system's inventory of AI tools, risk assessments, ongoing monitoring and patient-data protections, setting an early template for how hospitals will be audited on AI governance.</t>
        </is>
      </c>
      <c r="G33" s="6" t="inlineStr">
        <is>
          <t>Healthcare Brew</t>
        </is>
      </c>
      <c r="H33" s="6" t="inlineStr">
        <is>
          <t>https://www.healthcare-brew.com/stories/ai-411-september-2026</t>
        </is>
      </c>
      <c r="I33" s="6" t="inlineStr">
        <is>
          <t>2026-09-18</t>
        </is>
      </c>
    </row>
    <row r="34">
      <c r="A34" s="6" t="inlineStr">
        <is>
          <t>2026-09-26</t>
        </is>
      </c>
      <c r="B34" s="6" t="inlineStr">
        <is>
          <t>Healthcare / Provider &amp; Clinical</t>
        </is>
      </c>
      <c r="C34" s="6" t="inlineStr">
        <is>
          <t>Technology &amp; AI</t>
        </is>
      </c>
      <c r="D34" s="6" t="inlineStr">
        <is>
          <t>United States</t>
        </is>
      </c>
      <c r="E34" s="6" t="inlineStr">
        <is>
          <t>North Carolina hospitals launch statewide network to help rural sites evaluate AI tools</t>
        </is>
      </c>
      <c r="F34" s="6" t="inlineStr">
        <is>
          <t>UNC Health, Duke Health and other partners are backing a three-year, $4.4 million Duke Endowment-funded effort to help rural hospitals and small clinics assess and safely implement clinical AI.</t>
        </is>
      </c>
      <c r="G34" s="6" t="inlineStr">
        <is>
          <t>Health IT Answers</t>
        </is>
      </c>
      <c r="H34" s="6" t="inlineStr">
        <is>
          <t>https://www.healthitanswers.net/ai-in-healthcare-news-and-updates-091626/</t>
        </is>
      </c>
      <c r="I34" s="6" t="inlineStr">
        <is>
          <t>2026-09-16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2026-09-26T10:25:37Z</dcterms:created>
  <dcterms:modified xsi:type="dcterms:W3CDTF">2026-09-26T10:25:38Z</dcterms:modified>
</cp:coreProperties>
</file>