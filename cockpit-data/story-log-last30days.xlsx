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Raw Rows" sheetId="2" state="visible" r:id="rId4"/>
  </sheets>
  <definedNames>
    <definedName function="false" hidden="true" localSheetId="1" name="_xlnm._FilterDatabase" vbProcedure="false">'Raw Rows'!$A$1:$I$46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<sst xmlns="http://schemas.openxmlformats.org/spreadsheetml/2006/main" count="356" uniqueCount="209">
  <si>
    <t xml:space="preserve">Industry Intelligence Cockpit — Story Log Summary</t>
  </si>
  <si>
    <t xml:space="preserve">Rolling last-30-day window (data through 2026-08-26), sourced from story-log.csv</t>
  </si>
  <si>
    <t xml:space="preserve">Stories by Vertical (last 30 days)</t>
  </si>
  <si>
    <t xml:space="preserve">Stories by Lens (last 30 days)</t>
  </si>
  <si>
    <t xml:space="preserve">Vertical</t>
  </si>
  <si>
    <t xml:space="preserve">Story Count</t>
  </si>
  <si>
    <t xml:space="preserve">Lens</t>
  </si>
  <si>
    <t xml:space="preserve">Life &amp; Annuities</t>
  </si>
  <si>
    <t xml:space="preserve">M&amp;A</t>
  </si>
  <si>
    <t xml:space="preserve">Retirement</t>
  </si>
  <si>
    <t xml:space="preserve">Investments &amp; Funding</t>
  </si>
  <si>
    <t xml:space="preserve">Investments</t>
  </si>
  <si>
    <t xml:space="preserve">Technology &amp; AI</t>
  </si>
  <si>
    <t xml:space="preserve">Wealth Management</t>
  </si>
  <si>
    <t xml:space="preserve">Market Economics</t>
  </si>
  <si>
    <t xml:space="preserve">Property &amp; Casualty</t>
  </si>
  <si>
    <t xml:space="preserve">Regulatory &amp; Policy</t>
  </si>
  <si>
    <t xml:space="preserve">Brokers &amp; MGA/GA</t>
  </si>
  <si>
    <t xml:space="preserve">People &amp; Leadership</t>
  </si>
  <si>
    <t xml:space="preserve">TPA</t>
  </si>
  <si>
    <t xml:space="preserve">Total</t>
  </si>
  <si>
    <t xml:space="preserve">FinTech</t>
  </si>
  <si>
    <t xml:space="preserve">BrokerTech</t>
  </si>
  <si>
    <t xml:space="preserve">Insurtech</t>
  </si>
  <si>
    <t xml:space="preserve">Health Insurance / Payer</t>
  </si>
  <si>
    <t xml:space="preserve">Healthcare / Provider &amp; Clinical</t>
  </si>
  <si>
    <t xml:space="preserve">Stories by Week (date_added, week starting Monday)</t>
  </si>
  <si>
    <t xml:space="preserve">Week Of</t>
  </si>
  <si>
    <t xml:space="preserve">date_added</t>
  </si>
  <si>
    <t xml:space="preserve">vertical</t>
  </si>
  <si>
    <t xml:space="preserve">lens</t>
  </si>
  <si>
    <t xml:space="preserve">geography</t>
  </si>
  <si>
    <t xml:space="preserve">headline</t>
  </si>
  <si>
    <t xml:space="preserve">summary</t>
  </si>
  <si>
    <t xml:space="preserve">source_name</t>
  </si>
  <si>
    <t xml:space="preserve">source_url</t>
  </si>
  <si>
    <t xml:space="preserve">story_date</t>
  </si>
  <si>
    <t xml:space="preserve">United States</t>
  </si>
  <si>
    <t xml:space="preserve">BrokerTech Ventures sets BrokerTech Connect: Chicago for August 31-September 2</t>
  </si>
  <si>
    <t xml:space="preserve">BrokerTech Ventures announced BrokerTech Connect: Chicago, running Aug. 31-Sept. 2 at the Fairmont Chicago, bringing together brokers, carriers, investors and insurtech founders for sessions focused on AI and digital-first distribution.</t>
  </si>
  <si>
    <t xml:space="preserve">PR Newswire</t>
  </si>
  <si>
    <t xml:space="preserve">https://www.prnewswire.com/news-releases/brokertech-connect-chicago-set-for-august-31september-2-announces-growing-sponsor-lineup-and-industry-programming-302848488.html</t>
  </si>
  <si>
    <t xml:space="preserve">Private equity backs AGI's AI-enabled brokerage growth platform</t>
  </si>
  <si>
    <t xml:space="preserve">A private equity investor took a stake in AGI, an AI-enabled platform designed to help insurance brokerages accelerate growth, part of a wider wave of capital targeting agency-facing AI tools in the Southeast U.S. market.</t>
  </si>
  <si>
    <t xml:space="preserve">Insurance Journal</t>
  </si>
  <si>
    <t xml:space="preserve">https://www.insurancejournal.com/news/southeast/2026/07/20/878204.htm</t>
  </si>
  <si>
    <t xml:space="preserve">UK/Europe</t>
  </si>
  <si>
    <t xml:space="preserve">Clear Group acquires Surrey commercial broker C.R. Toogood &amp; Co.</t>
  </si>
  <si>
    <t xml:space="preserve">London-based intermediary Clear Group acquired C.R. Toogood &amp; Co., a commercial insurance broker in East Horsley, Surrey, extending Clear's footprint across southern England; deal terms were not disclosed.</t>
  </si>
  <si>
    <t xml:space="preserve">https://www.insurancejournal.com/news/international/2026/08/24/882639.htm</t>
  </si>
  <si>
    <t xml:space="preserve">ANV Group agrees to buy UK motor warranty MGA Car Care Plan from AmTrust</t>
  </si>
  <si>
    <t xml:space="preserve">London intermediary platform ANV Group Holdings signed a definitive agreement to acquire Car Care Plan, a UK motor warranty provider and MGA, from AmTrust Financial Services, with the deal expected to close around the end of September 2026.</t>
  </si>
  <si>
    <t xml:space="preserve">APAC</t>
  </si>
  <si>
    <t xml:space="preserve">Australia's Steadfast agrees to $5.5 billion buyout by KKR-backed consortium</t>
  </si>
  <si>
    <t xml:space="preserve">Steadfast Group agreed to an A$7.7 billion buyout by a consortium of KKR, Amwins Group and Dragoneer Investment Group, with Amwins taking the underwriting agency business and Dragoneer the broking operations; shareholders get A$6 per share, a roughly 52% premium, with completion targeted for December 2026.</t>
  </si>
  <si>
    <t xml:space="preserve">Reuters via Investing.com</t>
  </si>
  <si>
    <t xml:space="preserve">https://www.investing.com/news/stock-market-news/australias-steadfast-agrees-to-551-billion-buyout-bid-by-kkrbacked-consortium-4871174</t>
  </si>
  <si>
    <t xml:space="preserve">August Equity backs InsurTech MGA Starpeak</t>
  </si>
  <si>
    <t xml:space="preserve">Private equity firm August Equity invested in Starpeak, a UK insurtech MGA that has sustained more than 25% annual growth, as demand grows for niche, hyper-personalized insurance products.</t>
  </si>
  <si>
    <t xml:space="preserve">FinTech Global</t>
  </si>
  <si>
    <t xml:space="preserve">https://fintech.global/2026/08/21/august-equity-backs-insurtech-mga-starpeak/</t>
  </si>
  <si>
    <t xml:space="preserve">Global</t>
  </si>
  <si>
    <t xml:space="preserve">Sixfold partners with Sollers Consulting to speed AI underwriting rollouts</t>
  </si>
  <si>
    <t xml:space="preserve">AI underwriting platform Sixfold struck a strategic partnership with Sollers Consulting, pairing Sixfold's AI-driven risk assessment with Sollers' implementation expertise to help carriers accelerate underwriting transformation projects.</t>
  </si>
  <si>
    <t xml:space="preserve">https://fintech.global/2026/08/14/sixfold-and-sollers-team-up-on-ai-underwriting/</t>
  </si>
  <si>
    <t xml:space="preserve">Insurity teams with ITS to close insurers' tech execution gap</t>
  </si>
  <si>
    <t xml:space="preserve">Insurity partnered with Insurance Technology Services (ITS) to help carriers manage complex technology implementations, combining Insurity's cloud insurance platform with ITS's consulting and delivery capabilities.</t>
  </si>
  <si>
    <t xml:space="preserve">https://fintech.global/2026/08/12/insurity-and-its-target-the-insurance-industrys-tech-execution-gap/</t>
  </si>
  <si>
    <t xml:space="preserve">Bolt launches AI-powered insurance distribution platform</t>
  </si>
  <si>
    <t xml:space="preserve">Insurance fintech Bolt launched 'Connected Distribution,' an AI-driven operating model aimed at independent agencies, brokerages and carriers, designed to cut manual tasks and help distribution partners move faster and retain more business.</t>
  </si>
  <si>
    <t xml:space="preserve">https://fintech.global/2026/08/13/bolt-launches-ai-powered-insurance-distribution-platform/</t>
  </si>
  <si>
    <t xml:space="preserve">UnitedHealth leads Q2 payer profits as insurers show signs of cost recovery</t>
  </si>
  <si>
    <t xml:space="preserve">UnitedHealth Group posted $5.48 billion in Q2 2026 profit (a 4.9% margin), followed by Cigna at $1.66 billion and Centene at $1.09 billion, while Elevance Health was the only major insurer among the six tracked to post a year-over-year profit decline.</t>
  </si>
  <si>
    <t xml:space="preserve">Becker's Payer Issues</t>
  </si>
  <si>
    <t xml:space="preserve">https://www.beckerspayer.com/finance/payers-ranked-by-q2-2026-profits/</t>
  </si>
  <si>
    <t xml:space="preserve">Medicare to pay out more than $13 billion in MA quality bonuses in 2026</t>
  </si>
  <si>
    <t xml:space="preserve">KFF found Medicare will spend at least $13 billion in 2026 on the Medicare Advantage Quality Bonus Program, as 68% of MA enrollees are now in plans that qualify for the higher payments following CMS's recalculation of star ratings.</t>
  </si>
  <si>
    <t xml:space="preserve">KFF</t>
  </si>
  <si>
    <t xml:space="preserve">https://www.kff.org/medicare/medicare-will-spend-more-than-13-billion-on-the-medicare-advantage-quality-bonus-program-in-2026/</t>
  </si>
  <si>
    <t xml:space="preserve">ACA individual market risk pool grows smaller and sicker as enhanced subsidies expire</t>
  </si>
  <si>
    <t xml:space="preserve">With enhanced ACA premium tax credits expiring, healthier enrollees have been leaving the marketplaces, and analysts estimate enrollment fell 17-26% in 2026 while morbidity worsened 2.9-6.5%, pushing insurers to build 2027 rates on a smaller, less healthy risk pool.</t>
  </si>
  <si>
    <t xml:space="preserve">Peterson-KFF Health System Tracker</t>
  </si>
  <si>
    <t xml:space="preserve">https://www.healthsystemtracker.org/brief/how-much-and-why-aca-marketplace-premiums-are-going-up-in-2027/</t>
  </si>
  <si>
    <t xml:space="preserve">Mount Sinai quietly stops taking some new patients on Medicaid and Medicare Advantage plans</t>
  </si>
  <si>
    <t xml:space="preserve">Mount Sinai Health System removed notices -- after a Politico inquiry -- showing it had stopped accepting new patients under Centene's Fidelis Care and Wellcare Medicare Advantage plans, plus EmblemHealth Medicaid products, as of Aug. 1, while continuing to treat existing patients on those plans.</t>
  </si>
  <si>
    <t xml:space="preserve">https://www.beckerspayer.com/contracting/mount-sinai-quietly-stops-accepting-some-new-patients-with-government-backed-plans/</t>
  </si>
  <si>
    <t xml:space="preserve">FTC secures settlement with Caremark, locking in up to $8.5 billion in consumer savings</t>
  </si>
  <si>
    <t xml:space="preserve">CVS subsidiaries Caremark Rx and Zinc Health Services settled FTC antitrust claims over formulary design, rebating and vertical-integration practices; the deal caps insulin out-of-pocket costs, requires cost-based pharmacy reimbursement, and is projected to lock in up to $8.5 billion in consumer savings over 10 years.</t>
  </si>
  <si>
    <t xml:space="preserve">Federal Trade Commission</t>
  </si>
  <si>
    <t xml:space="preserve">https://www.ftc.gov/news-events/news/press-releases/2026/07/ftc-secures-major-settlement-caremark-resolving-antitrust-case-against-second-drug-middleman</t>
  </si>
  <si>
    <t xml:space="preserve">India</t>
  </si>
  <si>
    <t xml:space="preserve">IRDAI grants registration to Prudential HCL, India's 8th standalone health insurer</t>
  </si>
  <si>
    <t xml:space="preserve">India's insurance regulator issued a certificate of registration to Prudential HCL Health Insurance, a joint venture 70%-owned by UK-based Prudential and 30%-owned by HCL Group, bringing the number of standalone health insurers in India to eight.</t>
  </si>
  <si>
    <t xml:space="preserve">Insurance Business Asia</t>
  </si>
  <si>
    <t xml:space="preserve">https://www.insurancebusinessmag.com/asia/news/life-insurance/prudential-hcl-becomes-indias-eighth-standalone-health-insurer-581111.aspx</t>
  </si>
  <si>
    <t xml:space="preserve">Northwell's $1.2 billion Epic rollout reaches next phase with Central Region go-live</t>
  </si>
  <si>
    <t xml:space="preserve">Northwell Health's phased effort to unify more than 30 legacy EHRs across 28 hospitals onto a single Epic platform continues, with its Central Region wave -- one of the largest go-lives in Epic's history -- covering more than $8 billion in revenue and 40,000 simultaneous users.</t>
  </si>
  <si>
    <t xml:space="preserve">Becker's Hospital Review</t>
  </si>
  <si>
    <t xml:space="preserve">https://www.beckershospitalreview.com/healthcare-information-technology/ehrs/how-northwells-1-2b-epic-rollout-is-pacing/</t>
  </si>
  <si>
    <t xml:space="preserve">Oracle Health expands Clinical AI Agent with coding, dictation and chart review</t>
  </si>
  <si>
    <t xml:space="preserve">Oracle Health added professional-fee coding, clinician-controlled dictation and cross-record chart review to its Clinical AI Agent, aiming to cut documentation time, speed visit prep and improve reimbursement accuracy for health systems.</t>
  </si>
  <si>
    <t xml:space="preserve">Oracle</t>
  </si>
  <si>
    <t xml:space="preserve">https://www.oracle.com/news/announcement/oracle-health-expands-clinical-ai-agent-with-coding-dictation-chart-review-2026-08-19/</t>
  </si>
  <si>
    <t xml:space="preserve">Weekly clinical AI use nearly doubles among doctors and nurses, Wolters Kluwer finds</t>
  </si>
  <si>
    <t xml:space="preserve">A Wolters Kluwer Health 2026 survey found nearly three-quarters of doctors and 70% of nurses now use AI at least weekly at work, up sharply from 38% and 46% respectively a year earlier.</t>
  </si>
  <si>
    <t xml:space="preserve">Fierce Healthcare</t>
  </si>
  <si>
    <t xml:space="preserve">https://www.fiercehealthcare.com/ai-and-machine-learning/wolts-kluwer-health-survey-examines-ai-use-concerns-among-clinicians</t>
  </si>
  <si>
    <t xml:space="preserve">HIMSS and SingHealth host APAC Health Conference in Singapore to accelerate AI-enabled care</t>
  </si>
  <si>
    <t xml:space="preserve">HIMSS and SingHealth co-hosted the 2026 HIMSS APAC Health Conference &amp; Exhibition Aug. 23-25 in Singapore, gathering health ministries and digital-health leaders from South Korea, Australia and across the region around clinical AI, smart hospitals and interoperability.</t>
  </si>
  <si>
    <t xml:space="preserve">HIMSS</t>
  </si>
  <si>
    <t xml:space="preserve">https://www.himss.org/news-center/himss-and-singhealth-to-co-host-2026-himss-apac-health-conference-and-exhibition-in-singapore-bringing-together-global-leaders-to-accelerate-ai-enabled-healthcare-transformation/</t>
  </si>
  <si>
    <t xml:space="preserve">HHS announces $102 million to expand community health centers</t>
  </si>
  <si>
    <t xml:space="preserve">HHS awarded $102 million in New Access Points funding on Aug. 13 to expand the Health Center Program, aiming to bring primary care access to nearly 1 million more Americans.</t>
  </si>
  <si>
    <t xml:space="preserve">HHS.gov</t>
  </si>
  <si>
    <t xml:space="preserve">https://www.hhs.gov/press-room/hhs-invests-102-million-expand-health-centers-primary-care.html</t>
  </si>
  <si>
    <t xml:space="preserve">Ahmedabad insurtech InRisk Labs raises $27 million Series A</t>
  </si>
  <si>
    <t xml:space="preserve">Indian insurtech startup InRisk Labs raised a $27 million Series A co-led by Bessemer Venture Partners and Northpoint Capital, adding to a wave of AI-focused insurtech funding in 2026.</t>
  </si>
  <si>
    <t xml:space="preserve">YourStory</t>
  </si>
  <si>
    <t xml:space="preserve">https://yourstory.com/2026/08/insurtech-startup-inrisk-labs-raises-27-million-in-series-a</t>
  </si>
  <si>
    <t xml:space="preserve">Munich Re to acquire cyber insurtech At-Bay for $575 million</t>
  </si>
  <si>
    <t xml:space="preserve">Munich Re agreed to acquire U.S. cyber insurtech At-Bay for $575 million -- roughly 2x At-Bay's gross written premiums and well below its 2021 unicorn valuation -- folding the SME-focused underwriter into Munich Re's Hartford Steam Boiler specialty unit.</t>
  </si>
  <si>
    <t xml:space="preserve">https://www.insurancejournal.com/news/national/2026/08/19/882152.htm</t>
  </si>
  <si>
    <t xml:space="preserve">AI captures 99.1% of Q2 2026 global InsurTech funding</t>
  </si>
  <si>
    <t xml:space="preserve">Global InsurTech funding reached $2.44 billion in Q2 2026, with AI-focused companies pulling in $2.42 billion of that total, as investors keep raising the bar on how quickly AI insurtechs must show a path to profitability.</t>
  </si>
  <si>
    <t xml:space="preserve">InsurTech NY</t>
  </si>
  <si>
    <t xml:space="preserve">https://www.insurtechny.com/top-insurtech-headlines-aug-3-aug-9-2026/</t>
  </si>
  <si>
    <t xml:space="preserve">Northern Trust survey of 180+ insurers flags AI 'hallucination' worries even as adoption accelerates</t>
  </si>
  <si>
    <t xml:space="preserve">A new Northern Trust report examining how more than 180 insurance asset owners are navigating investment strategy and operational challenges found three-fifths of asset managers worry about AI 'hallucinations' even as adoption of AI tools accelerates across the industry.</t>
  </si>
  <si>
    <t xml:space="preserve">Northern Trust</t>
  </si>
  <si>
    <t xml:space="preserve">https://www.northerntrust.com/united-states/insights-research/asset-servicing/a-suite/insights-hub/evolution-of-insurance-asset-management</t>
  </si>
  <si>
    <t xml:space="preserve">Unaffiliated insurance general account assets hit record $5.5 trillion</t>
  </si>
  <si>
    <t xml:space="preserve">CWAN's 2026 Insurance Asset Management Trends report found unaffiliated general account AUM managed by 96 specialist managers reached a record $5.5 trillion at year-end 2025, with insurers continuing to tilt toward private credit and alternative assets even as public fixed income stays dominant.</t>
  </si>
  <si>
    <t xml:space="preserve">CWAN</t>
  </si>
  <si>
    <t xml:space="preserve">https://cwan.com/resources/reports/2026-insurance-asset-management-trends</t>
  </si>
  <si>
    <t xml:space="preserve">American Financial Group's P&amp;C net investment income jumps 23% in Q2</t>
  </si>
  <si>
    <t xml:space="preserve">American Financial Group reported second-quarter net investment income of $221 million in its property and casualty operations, up from $179 million a year earlier, as fixed-income and alternative portfolios benefited from the elevated rate environment.</t>
  </si>
  <si>
    <t xml:space="preserve">SEC EDGAR / American Financial Group 10-Q</t>
  </si>
  <si>
    <t xml:space="preserve">https://www.sec.gov/Archives/edgar/data/0001042046/000104204626000024/afg-20260630.htm</t>
  </si>
  <si>
    <t xml:space="preserve">MassMutual Ascend tops $2 billion in lifetime RIA annuity sales</t>
  </si>
  <si>
    <t xml:space="preserve">MassMutual Ascend said its advisory annuity business has crossed $2 billion in lifetime sales, built on relationships with more than 1,700 investment advisor representatives across nearly 1,000 RIAs, with roughly $900 million of that volume written in the past two years alone.</t>
  </si>
  <si>
    <t xml:space="preserve">InvestmentNews</t>
  </si>
  <si>
    <t xml:space="preserve">https://www.investmentnews.com/retirement-planning/massmutual-ascend-tops-2-billion-in-ria-annuity-sales-as-advisors-warm-to-income-products/267813</t>
  </si>
  <si>
    <t xml:space="preserve">Delaware Life's restated related-party exposure balloons past $17 billion amid federal probe</t>
  </si>
  <si>
    <t xml:space="preserve">Delaware Life and Clear Spring Life, both tied to financier Mark Walter, corrected earlier disclosures that had put related-party investment exposure near $1.4 billion, restating the figure above $17 billion -- more than 39% of invested assets -- as U.S. Attorney and SEC investigations into the affiliated transactions continue.</t>
  </si>
  <si>
    <t xml:space="preserve">https://www.investmentnews.com/life-insurance-and-annuities/lakers-sale-spotlights-delaware-lifes-17b-underreported-exposure/267817</t>
  </si>
  <si>
    <t xml:space="preserve">Samsung Life launches 5-year lump-sum annuity with 4.13% fixed rate</t>
  </si>
  <si>
    <t xml:space="preserve">Samsung Life introduced a lump-sum annuity product locking in a 4.13% fixed rate over a five-year term, aimed at savers seeking guaranteed income amid a shifting South Korean interest-rate environment.</t>
  </si>
  <si>
    <t xml:space="preserve">BigGo Finance</t>
  </si>
  <si>
    <t xml:space="preserve">https://finance.biggo.com/news/2bcf3b6d-67f9-41f6-8c76-342cb160f463</t>
  </si>
  <si>
    <t xml:space="preserve">EIOPA rolls out revised 'value for money' benchmark methodology for unit-linked products</t>
  </si>
  <si>
    <t xml:space="preserve">EIOPA published a revised methodology, dated July 6, for setting value-for-money benchmarks on unit-linked and hybrid insurance products, clustering products by policyholder need so national supervisors can flag high-cost or high-risk offerings across the EU.</t>
  </si>
  <si>
    <t xml:space="preserve">National Law Review (FinReg Monthly Update)</t>
  </si>
  <si>
    <t xml:space="preserve">https://natlawreview.com/article/finreg-monthly-update-august-2026</t>
  </si>
  <si>
    <t xml:space="preserve">India opens insurance sector to 100% foreign direct investment under automatic route</t>
  </si>
  <si>
    <t xml:space="preserve">India's finance ministry amended foreign-exchange rules to permit 100% FDI in Indian insurance companies under the automatic route, extending the higher cap to brokers, reinsurance brokers, agents and other intermediaries while keeping state-run LIC capped at 20%.</t>
  </si>
  <si>
    <t xml:space="preserve">India Briefing</t>
  </si>
  <si>
    <t xml:space="preserve">https://www.india-briefing.com/news/india-insurance-100-percent-foreign-investment-42439.html/</t>
  </si>
  <si>
    <t xml:space="preserve">NAIC's P&amp;C Committee convenes at 2026 Summer National Meeting</t>
  </si>
  <si>
    <t xml:space="preserve">The NAIC's Property and Casualty Insurance (C) Committee met August 14 at the 2026 Summer National Meeting, where regulators and industry leaders discussed key market and regulatory issues shaping the sector heading into year-end.</t>
  </si>
  <si>
    <t xml:space="preserve">NAIC</t>
  </si>
  <si>
    <t xml:space="preserve">https://content.naic.org/committees/c/property-casualty-insurance-cmte</t>
  </si>
  <si>
    <t xml:space="preserve">Catastrophe reinsurance prices post steepest annual drop in 25 years</t>
  </si>
  <si>
    <t xml:space="preserve">Global property-catastrophe reinsurance prices fell 16% year-on-year at the June/July renewals -- the largest annual decline since the late 1990s -- as record capital levels pressured pricing even as storm frequency and severity keep climbing.</t>
  </si>
  <si>
    <t xml:space="preserve">Insurance Business (Reinsurance)</t>
  </si>
  <si>
    <t xml:space="preserve">https://www.insurancebusinessmag.com/reinsurance/news/breaking-news/catastrophe-reinsurance-prices-post-historic-annual-fall-583643.aspx</t>
  </si>
  <si>
    <t xml:space="preserve">Global commercial insurance rates fall for 8th straight quarter, Marsh finds</t>
  </si>
  <si>
    <t xml:space="preserve">Marsh's Q2 2026 Global Insurance Market Index recorded a 6% average decline in commercial insurance rates worldwide, with property down 12% and cyber down 4%, while U.S. casualty bucked the trend with a 7% increase amid persistent claims-cost pressure.</t>
  </si>
  <si>
    <t xml:space="preserve">Reinsurance News</t>
  </si>
  <si>
    <t xml:space="preserve">https://www.reinsurancene.ws/abundant-capacity-and-competition-drive-6-global-commercial-insurance-rate-decline-in-q226-marsh/</t>
  </si>
  <si>
    <t xml:space="preserve">Etiqa Insurance Singapore names Claudia Soh chief executive officer</t>
  </si>
  <si>
    <t xml:space="preserve">Etiqa Insurance Singapore confirmed Claudia Soh as CEO effective August 14, formalizing a role she had held on an acting basis for six months alongside her post as CFO, as the composite insurer enters its next growth phase.</t>
  </si>
  <si>
    <t xml:space="preserve">finews.asia</t>
  </si>
  <si>
    <t xml:space="preserve">https://www.finews.asia/people/45048-etiqa-insurance-singapore-names-claudia-soh-ceo</t>
  </si>
  <si>
    <t xml:space="preserve">DOL proposal would open 401(k) plans to private-market investments</t>
  </si>
  <si>
    <t xml:space="preserve">A new Department of Labor proposal would let 401(k) fiduciaries add private-market investments to plan lineups, setting out 'safe harbor' steps for selecting such alternatives, building on the direction SECURE 2.0 had already signaled.</t>
  </si>
  <si>
    <t xml:space="preserve">https://www.investmentnews.com/retirement-planning/dols-new-401k-proposal-hailed-as-step-towards-fairer-retirement-system/265936</t>
  </si>
  <si>
    <t xml:space="preserve">Pension buy-in interest rates hit highest levels since 2023 as PRT market builds momentum</t>
  </si>
  <si>
    <t xml:space="preserve">Duration-7 and duration-15 annuity purchase interest rates have climbed to their highest points since 2023, and with pension liabilities declining, an August pricing update from October Three says conditions remain favorable for plan sponsors pursuing de-risking deals through the third quarter.</t>
  </si>
  <si>
    <t xml:space="preserve">October Three</t>
  </si>
  <si>
    <t xml:space="preserve">https://www.octoberthree.com/articles/pension-risk-transfer-market-updates/</t>
  </si>
  <si>
    <t xml:space="preserve">Marpai projects positive cash flow starting August as TPA and PBM member base surges</t>
  </si>
  <si>
    <t xml:space="preserve">Marpai said an estimated 192,000 new member lives are rolling onto its TPA and MarpaiRx PBM platforms between August 2026 and January 2027 -- nearly a six-fold increase -- positioning the company to reach positive cash flow and EBITDA beginning this month.</t>
  </si>
  <si>
    <t xml:space="preserve">PR Newswire / Marpai IR</t>
  </si>
  <si>
    <t xml:space="preserve">https://ir.marpaihealth.com/2026-05-26-Marpai-Inc-Announces-Unprecedented-Growth-with-192,000-New-Estimated-Member-Lives-Across-TPA-and-MarpaiRx-PBM-Platforms-Expects-to-Achieve-Positive-Cash-Flow-and-EBITDA-Beginning-August-2026</t>
  </si>
  <si>
    <t xml:space="preserve">TPA software market on pace to more than double by 2034 amid AI-driven claims push</t>
  </si>
  <si>
    <t xml:space="preserve">The global third-party-administrator software market is projected to grow from $4.8 billion in 2025 to $10.2 billion by 2034, an 8.7% CAGR, as AI-driven claims automation and rising self-funded enrollment push carriers and employers toward outsourced TPA platforms.</t>
  </si>
  <si>
    <t xml:space="preserve">Dataintelo</t>
  </si>
  <si>
    <t xml:space="preserve">https://dataintelo.com/report/third-party-administrator-software-market</t>
  </si>
  <si>
    <t xml:space="preserve">Wealth Enhancement acquires Oklahoma City's Servo Wealth Management</t>
  </si>
  <si>
    <t xml:space="preserve">Wealth Enhancement acquired the investment advisory business of Servo Wealth Management, an Oklahoma City RIA managing more than $210 million for physicians, attorneys and business owners, deepening the Minneapolis consolidator's presence in the South-Central U.S.</t>
  </si>
  <si>
    <t xml:space="preserve">https://www.prnewswire.com/news-releases/wealth-enhancement-announces-acquisition-of-servo-wealth-management-an-independent-ria-with-over-210-million-in-client-assets-302855693.html</t>
  </si>
  <si>
    <t xml:space="preserve">RIA M&amp;A jumps nearly 40% in first half of 2026, Berkshire Global finds</t>
  </si>
  <si>
    <t xml:space="preserve">Berkshire Global Advisors counted 225 RIA transactions involving firms with at least $100 million in AUM in the first half of 2026, up almost 40% from a year earlier, with private-equity-backed buyers driving 85% of strategic acquisitions and Carson Group leading all buyers by deal count.</t>
  </si>
  <si>
    <t xml:space="preserve">https://www.investmentnews.com/ria-news/ria-ma-shatters-records-as-first-half-deal-count-nears-40-jump/267517</t>
  </si>
  <si>
    <t xml:space="preserve">Orion launches fractional share trading for advisors custodying with Schwab</t>
  </si>
  <si>
    <t xml:space="preserve">Orion rolled out fractional share trading built into its order management system for RIAs custodying with Schwab Advisor Services, letting advisors implement model allocations to the dollar instead of rounding to whole shares.</t>
  </si>
  <si>
    <t xml:space="preserve">BusinessWire</t>
  </si>
  <si>
    <t xml:space="preserve">https://www.businesswire.com/news/home/20260804200836/en/Orion-Introduces-Fractional-Share-Trading-for-Advisors-Who-Custody-with-Schwab-Advisor-Services</t>
  </si>
  <si>
    <t xml:space="preserve">Advisor360 unveils AI-native 'wealth operating system' for advisors</t>
  </si>
  <si>
    <t xml:space="preserve">Advisor360 launched an AI-native wealth operating system designed to embed intelligence directly into advisors' everyday workflows, part of a broader wealthtech shift moving AI from back-office use toward front-office decision-making.</t>
  </si>
  <si>
    <t xml:space="preserve">WealthManagement.com</t>
  </si>
  <si>
    <t xml:space="preserve">https://www.wealthmanagement.com/artificial-intelligence/advisor360-announces-ai-native-wealth-operating-system</t>
  </si>
  <si>
    <t xml:space="preserve">Asset Vantage names Nicole Eberhardt global CEO to lead wealthtech expansion</t>
  </si>
  <si>
    <t xml:space="preserve">Family-office wealthtech platform Asset Vantage, which supports more than $400 billion in assets across 400-plus families in 10 countries, appointed Nicole Eberhardt as global CEO effective August 1, elevating its former North America managing director to lead product and market expansion.</t>
  </si>
  <si>
    <t xml:space="preserve">citybiz</t>
  </si>
  <si>
    <t xml:space="preserve">https://www.citybiz.co/article/883550/asset-vantage-names-nicole-eberhardt-global-ceo-to-drive-wealthtech-expansion/</t>
  </si>
  <si>
    <t xml:space="preserve">Carson Group adds $405 million Atlanta team from Northwestern Mutual</t>
  </si>
  <si>
    <t xml:space="preserve">Carson Group welcomed Yari Capital, a $405 million Atlanta advisory practice led by CFP Kurt Mattson, to its independent advisor channel, continuing a run of recruiting wins for the $62 billion RIA aggregator.</t>
  </si>
  <si>
    <t xml:space="preserve">https://www.investmentnews.com/ria-news/carson-group-adds-405m-northwestern-mutual-team-in-atlanta/267900</t>
  </si>
</sst>
</file>

<file path=xl/styles.xml><?xml version="1.0" encoding="utf-8"?>
<styleSheet xmlns="http://schemas.openxmlformats.org/spreadsheetml/2006/main">
  <numFmts count="3">
    <numFmt numFmtId="164" formatCode="General"/>
    <numFmt numFmtId="165" formatCode="General"/>
    <numFmt numFmtId="166" formatCode="yyyy\-mm\-dd"/>
  </numFmts>
  <fonts count="10">
    <font>
      <sz val="11"/>
      <color theme="1"/>
      <name val="Calibri"/>
      <family val="2"/>
      <charset val="1"/>
    </font>
    <font>
      <sz val="10"/>
      <name val="Arial"/>
      <family val="0"/>
    </font>
    <font>
      <sz val="10"/>
      <name val="Arial"/>
      <family val="0"/>
    </font>
    <font>
      <sz val="10"/>
      <name val="Arial"/>
      <family val="0"/>
    </font>
    <font>
      <b val="true"/>
      <sz val="16"/>
      <color rgb="FF00294D"/>
      <name val="Georgia"/>
      <family val="0"/>
      <charset val="1"/>
    </font>
    <font>
      <i val="true"/>
      <sz val="9"/>
      <color rgb="FF4A5E72"/>
      <name val="Arial"/>
      <family val="0"/>
      <charset val="1"/>
    </font>
    <font>
      <b val="true"/>
      <sz val="10"/>
      <color rgb="FF00294D"/>
      <name val="Arial"/>
      <family val="0"/>
      <charset val="1"/>
    </font>
    <font>
      <b val="true"/>
      <sz val="10"/>
      <color rgb="FFFFFFFF"/>
      <name val="Arial"/>
      <family val="0"/>
      <charset val="1"/>
    </font>
    <font>
      <sz val="10"/>
      <color rgb="FF1A2E40"/>
      <name val="Arial"/>
      <family val="0"/>
      <charset val="1"/>
    </font>
    <font>
      <sz val="9"/>
      <name val="Arial"/>
      <family val="0"/>
      <charset val="1"/>
    </font>
  </fonts>
  <fills count="3">
    <fill>
      <patternFill patternType="none"/>
    </fill>
    <fill>
      <patternFill patternType="gray125"/>
    </fill>
    <fill>
      <patternFill patternType="solid">
        <fgColor rgb="FF00294D"/>
        <bgColor rgb="FF1A2E40"/>
      </patternFill>
    </fill>
  </fills>
  <borders count="2">
    <border diagonalUp="false" diagonalDown="false">
      <left/>
      <right/>
      <top/>
      <bottom/>
      <diagonal/>
    </border>
    <border diagonalUp="false" diagonalDown="false">
      <left style="thin">
        <color rgb="FFD0D7E0"/>
      </left>
      <right style="thin">
        <color rgb="FFD0D7E0"/>
      </right>
      <top style="thin">
        <color rgb="FFD0D7E0"/>
      </top>
      <bottom style="thin">
        <color rgb="FFD0D7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00294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0D7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A5E72"/>
      <rgbColor rgb="FF969696"/>
      <rgbColor rgb="FF00294D"/>
      <rgbColor rgb="FF339966"/>
      <rgbColor rgb="FF003300"/>
      <rgbColor rgb="FF333300"/>
      <rgbColor rgb="FF993300"/>
      <rgbColor rgb="FF993366"/>
      <rgbColor rgb="FF333399"/>
      <rgbColor rgb="FF1A2E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4"/>
    <col collapsed="false" customWidth="true" hidden="false" outlineLevel="0" max="4" min="4" style="0" width="3"/>
    <col collapsed="false" customWidth="true" hidden="false" outlineLevel="0" max="5" min="5" style="0" width="24"/>
    <col collapsed="false" customWidth="true" hidden="false" outlineLevel="0" max="6" min="6" style="0" width="14"/>
  </cols>
  <sheetData>
    <row r="2" customFormat="false" ht="19.7" hidden="false" customHeight="false" outlineLevel="0" collapsed="false">
      <c r="B2" s="1" t="s">
        <v>0</v>
      </c>
    </row>
    <row r="3" customFormat="false" ht="15" hidden="false" customHeight="false" outlineLevel="0" collapsed="false">
      <c r="B3" s="2" t="s">
        <v>1</v>
      </c>
    </row>
    <row r="6" customFormat="false" ht="15" hidden="false" customHeight="false" outlineLevel="0" collapsed="false">
      <c r="B6" s="3" t="s">
        <v>2</v>
      </c>
      <c r="E6" s="3" t="s">
        <v>3</v>
      </c>
    </row>
    <row r="7" customFormat="false" ht="15" hidden="false" customHeight="false" outlineLevel="0" collapsed="false">
      <c r="B7" s="4" t="s">
        <v>4</v>
      </c>
      <c r="C7" s="4" t="s">
        <v>5</v>
      </c>
      <c r="E7" s="4" t="s">
        <v>6</v>
      </c>
      <c r="F7" s="4" t="s">
        <v>5</v>
      </c>
    </row>
    <row r="8" customFormat="false" ht="15" hidden="false" customHeight="false" outlineLevel="0" collapsed="false">
      <c r="B8" s="5" t="s">
        <v>7</v>
      </c>
      <c r="C8" s="6" t="n">
        <f aca="false">COUNTIF('Raw Rows'!$B$2:$B$100000,B8)</f>
        <v>5</v>
      </c>
      <c r="E8" s="5" t="s">
        <v>8</v>
      </c>
      <c r="F8" s="6" t="n">
        <f aca="false">COUNTIF('Raw Rows'!$C$2:$C$100000,E8)</f>
        <v>6</v>
      </c>
    </row>
    <row r="9" customFormat="false" ht="15" hidden="false" customHeight="false" outlineLevel="0" collapsed="false">
      <c r="B9" s="5" t="s">
        <v>9</v>
      </c>
      <c r="C9" s="6" t="n">
        <f aca="false">COUNTIF('Raw Rows'!$B$2:$B$100000,B9)</f>
        <v>2</v>
      </c>
      <c r="E9" s="5" t="s">
        <v>10</v>
      </c>
      <c r="F9" s="6" t="n">
        <f aca="false">COUNTIF('Raw Rows'!$C$2:$C$100000,E9)</f>
        <v>4</v>
      </c>
    </row>
    <row r="10" customFormat="false" ht="15" hidden="false" customHeight="false" outlineLevel="0" collapsed="false">
      <c r="B10" s="5" t="s">
        <v>11</v>
      </c>
      <c r="C10" s="6" t="n">
        <f aca="false">COUNTIF('Raw Rows'!$B$2:$B$100000,B10)</f>
        <v>3</v>
      </c>
      <c r="E10" s="5" t="s">
        <v>12</v>
      </c>
      <c r="F10" s="6" t="n">
        <f aca="false">COUNTIF('Raw Rows'!$C$2:$C$100000,E10)</f>
        <v>12</v>
      </c>
    </row>
    <row r="11" customFormat="false" ht="15" hidden="false" customHeight="false" outlineLevel="0" collapsed="false">
      <c r="B11" s="5" t="s">
        <v>13</v>
      </c>
      <c r="C11" s="6" t="n">
        <f aca="false">COUNTIF('Raw Rows'!$B$2:$B$100000,B11)</f>
        <v>6</v>
      </c>
      <c r="E11" s="5" t="s">
        <v>14</v>
      </c>
      <c r="F11" s="6" t="n">
        <f aca="false">COUNTIF('Raw Rows'!$C$2:$C$100000,E11)</f>
        <v>12</v>
      </c>
    </row>
    <row r="12" customFormat="false" ht="15" hidden="false" customHeight="false" outlineLevel="0" collapsed="false">
      <c r="B12" s="5" t="s">
        <v>15</v>
      </c>
      <c r="C12" s="6" t="n">
        <f aca="false">COUNTIF('Raw Rows'!$B$2:$B$100000,B12)</f>
        <v>4</v>
      </c>
      <c r="E12" s="5" t="s">
        <v>16</v>
      </c>
      <c r="F12" s="6" t="n">
        <f aca="false">COUNTIF('Raw Rows'!$C$2:$C$100000,E12)</f>
        <v>8</v>
      </c>
    </row>
    <row r="13" customFormat="false" ht="15" hidden="false" customHeight="false" outlineLevel="0" collapsed="false">
      <c r="B13" s="5" t="s">
        <v>17</v>
      </c>
      <c r="C13" s="6" t="n">
        <f aca="false">COUNTIF('Raw Rows'!$B$2:$B$100000,B13)</f>
        <v>4</v>
      </c>
      <c r="E13" s="5" t="s">
        <v>18</v>
      </c>
      <c r="F13" s="6" t="n">
        <f aca="false">COUNTIF('Raw Rows'!$C$2:$C$100000,E13)</f>
        <v>3</v>
      </c>
    </row>
    <row r="14" customFormat="false" ht="15" hidden="false" customHeight="false" outlineLevel="0" collapsed="false">
      <c r="B14" s="5" t="s">
        <v>19</v>
      </c>
      <c r="C14" s="6" t="n">
        <f aca="false">COUNTIF('Raw Rows'!$B$2:$B$100000,B14)</f>
        <v>2</v>
      </c>
      <c r="E14" s="7" t="s">
        <v>20</v>
      </c>
      <c r="F14" s="8" t="n">
        <f aca="false">SUM(F8:F13)</f>
        <v>45</v>
      </c>
    </row>
    <row r="15" customFormat="false" ht="15" hidden="false" customHeight="false" outlineLevel="0" collapsed="false">
      <c r="B15" s="5" t="s">
        <v>21</v>
      </c>
      <c r="C15" s="6" t="n">
        <f aca="false">COUNTIF('Raw Rows'!$B$2:$B$100000,B15)</f>
        <v>3</v>
      </c>
    </row>
    <row r="16" customFormat="false" ht="15" hidden="false" customHeight="false" outlineLevel="0" collapsed="false">
      <c r="B16" s="5" t="s">
        <v>22</v>
      </c>
      <c r="C16" s="6" t="n">
        <f aca="false">COUNTIF('Raw Rows'!$B$2:$B$100000,B16)</f>
        <v>2</v>
      </c>
    </row>
    <row r="17" customFormat="false" ht="15" hidden="false" customHeight="false" outlineLevel="0" collapsed="false">
      <c r="B17" s="5" t="s">
        <v>23</v>
      </c>
      <c r="C17" s="6" t="n">
        <f aca="false">COUNTIF('Raw Rows'!$B$2:$B$100000,B17)</f>
        <v>3</v>
      </c>
    </row>
    <row r="18" customFormat="false" ht="15" hidden="false" customHeight="false" outlineLevel="0" collapsed="false">
      <c r="B18" s="5" t="s">
        <v>24</v>
      </c>
      <c r="C18" s="6" t="n">
        <f aca="false">COUNTIF('Raw Rows'!$B$2:$B$100000,B18)</f>
        <v>6</v>
      </c>
    </row>
    <row r="19" customFormat="false" ht="15" hidden="false" customHeight="false" outlineLevel="0" collapsed="false">
      <c r="B19" s="5" t="s">
        <v>25</v>
      </c>
      <c r="C19" s="6" t="n">
        <f aca="false">COUNTIF('Raw Rows'!$B$2:$B$100000,B19)</f>
        <v>5</v>
      </c>
    </row>
    <row r="20" customFormat="false" ht="15" hidden="false" customHeight="false" outlineLevel="0" collapsed="false">
      <c r="B20" s="7" t="s">
        <v>20</v>
      </c>
      <c r="C20" s="8" t="n">
        <f aca="false">SUM(C8:C19)</f>
        <v>45</v>
      </c>
    </row>
    <row r="23" customFormat="false" ht="15" hidden="false" customHeight="false" outlineLevel="0" collapsed="false">
      <c r="B23" s="3" t="s">
        <v>26</v>
      </c>
    </row>
    <row r="24" customFormat="false" ht="15" hidden="false" customHeight="false" outlineLevel="0" collapsed="false">
      <c r="B24" s="4" t="s">
        <v>27</v>
      </c>
      <c r="C24" s="4" t="s">
        <v>5</v>
      </c>
    </row>
    <row r="25" customFormat="false" ht="15" hidden="false" customHeight="false" outlineLevel="0" collapsed="false">
      <c r="B25" s="9" t="n">
        <v>46258</v>
      </c>
      <c r="C25" s="6" t="n">
        <f aca="false">COUNTIFS('Raw Rows'!$A$2:$A$100000,"&gt;="&amp;B25,'Raw Rows'!$A$2:$A$100000,"&lt;="&amp;(B25+6))</f>
        <v>45</v>
      </c>
    </row>
    <row r="26" customFormat="false" ht="15" hidden="false" customHeight="false" outlineLevel="0" collapsed="false">
      <c r="B26" s="7" t="s">
        <v>20</v>
      </c>
      <c r="C26" s="8" t="n">
        <f aca="false">SUM(C25:C25)</f>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20"/>
    <col collapsed="false" customWidth="true" hidden="false" outlineLevel="0" max="4" min="4" style="0" width="14"/>
    <col collapsed="false" customWidth="true" hidden="false" outlineLevel="0" max="5" min="5" style="0" width="42"/>
    <col collapsed="false" customWidth="true" hidden="false" outlineLevel="0" max="6" min="6" style="0" width="55"/>
    <col collapsed="false" customWidth="true" hidden="false" outlineLevel="0" max="7" min="7" style="0" width="20"/>
    <col collapsed="false" customWidth="true" hidden="false" outlineLevel="0" max="8" min="8" style="0" width="42"/>
    <col collapsed="false" customWidth="true" hidden="false" outlineLevel="0" max="9" min="9" style="0" width="12"/>
  </cols>
  <sheetData>
    <row r="1" customFormat="false" ht="15" hidden="false" customHeight="false" outlineLevel="0" collapsed="false">
      <c r="A1" s="4" t="s">
        <v>28</v>
      </c>
      <c r="B1" s="4" t="s">
        <v>29</v>
      </c>
      <c r="C1" s="4" t="s">
        <v>30</v>
      </c>
      <c r="D1" s="4" t="s">
        <v>31</v>
      </c>
      <c r="E1" s="4" t="s">
        <v>32</v>
      </c>
      <c r="F1" s="4" t="s">
        <v>33</v>
      </c>
      <c r="G1" s="4" t="s">
        <v>34</v>
      </c>
      <c r="H1" s="4" t="s">
        <v>35</v>
      </c>
      <c r="I1" s="4" t="s">
        <v>36</v>
      </c>
    </row>
    <row r="2" customFormat="false" ht="32.8" hidden="false" customHeight="false" outlineLevel="0" collapsed="false">
      <c r="A2" s="10" t="n">
        <v>46260</v>
      </c>
      <c r="B2" s="11" t="s">
        <v>22</v>
      </c>
      <c r="C2" s="11" t="s">
        <v>12</v>
      </c>
      <c r="D2" s="11" t="s">
        <v>37</v>
      </c>
      <c r="E2" s="12" t="s">
        <v>38</v>
      </c>
      <c r="F2" s="12" t="s">
        <v>39</v>
      </c>
      <c r="G2" s="11" t="s">
        <v>40</v>
      </c>
      <c r="H2" s="11" t="s">
        <v>41</v>
      </c>
      <c r="I2" s="10" t="n">
        <v>46254</v>
      </c>
    </row>
    <row r="3" customFormat="false" ht="32.8" hidden="false" customHeight="false" outlineLevel="0" collapsed="false">
      <c r="A3" s="10" t="n">
        <v>46260</v>
      </c>
      <c r="B3" s="11" t="s">
        <v>22</v>
      </c>
      <c r="C3" s="11" t="s">
        <v>10</v>
      </c>
      <c r="D3" s="11" t="s">
        <v>37</v>
      </c>
      <c r="E3" s="12" t="s">
        <v>42</v>
      </c>
      <c r="F3" s="12" t="s">
        <v>43</v>
      </c>
      <c r="G3" s="11" t="s">
        <v>44</v>
      </c>
      <c r="H3" s="11" t="s">
        <v>45</v>
      </c>
      <c r="I3" s="10" t="n">
        <v>46223</v>
      </c>
    </row>
    <row r="4" customFormat="false" ht="32.8" hidden="false" customHeight="false" outlineLevel="0" collapsed="false">
      <c r="A4" s="10" t="n">
        <v>46260</v>
      </c>
      <c r="B4" s="11" t="s">
        <v>17</v>
      </c>
      <c r="C4" s="11" t="s">
        <v>8</v>
      </c>
      <c r="D4" s="11" t="s">
        <v>46</v>
      </c>
      <c r="E4" s="12" t="s">
        <v>47</v>
      </c>
      <c r="F4" s="12" t="s">
        <v>48</v>
      </c>
      <c r="G4" s="11" t="s">
        <v>44</v>
      </c>
      <c r="H4" s="11" t="s">
        <v>49</v>
      </c>
      <c r="I4" s="10" t="n">
        <v>46258</v>
      </c>
    </row>
    <row r="5" customFormat="false" ht="32.8" hidden="false" customHeight="false" outlineLevel="0" collapsed="false">
      <c r="A5" s="10" t="n">
        <v>46260</v>
      </c>
      <c r="B5" s="11" t="s">
        <v>17</v>
      </c>
      <c r="C5" s="11" t="s">
        <v>8</v>
      </c>
      <c r="D5" s="11" t="s">
        <v>46</v>
      </c>
      <c r="E5" s="12" t="s">
        <v>50</v>
      </c>
      <c r="F5" s="12" t="s">
        <v>51</v>
      </c>
      <c r="G5" s="11" t="s">
        <v>44</v>
      </c>
      <c r="H5" s="11" t="s">
        <v>49</v>
      </c>
      <c r="I5" s="10" t="n">
        <v>46258</v>
      </c>
    </row>
    <row r="6" customFormat="false" ht="43.25" hidden="false" customHeight="false" outlineLevel="0" collapsed="false">
      <c r="A6" s="10" t="n">
        <v>46260</v>
      </c>
      <c r="B6" s="11" t="s">
        <v>17</v>
      </c>
      <c r="C6" s="11" t="s">
        <v>8</v>
      </c>
      <c r="D6" s="11" t="s">
        <v>52</v>
      </c>
      <c r="E6" s="12" t="s">
        <v>53</v>
      </c>
      <c r="F6" s="12" t="s">
        <v>54</v>
      </c>
      <c r="G6" s="11" t="s">
        <v>55</v>
      </c>
      <c r="H6" s="11" t="s">
        <v>56</v>
      </c>
      <c r="I6" s="10" t="n">
        <v>46255</v>
      </c>
    </row>
    <row r="7" customFormat="false" ht="32.8" hidden="false" customHeight="false" outlineLevel="0" collapsed="false">
      <c r="A7" s="10" t="n">
        <v>46260</v>
      </c>
      <c r="B7" s="11" t="s">
        <v>17</v>
      </c>
      <c r="C7" s="11" t="s">
        <v>10</v>
      </c>
      <c r="D7" s="11" t="s">
        <v>46</v>
      </c>
      <c r="E7" s="12" t="s">
        <v>57</v>
      </c>
      <c r="F7" s="12" t="s">
        <v>58</v>
      </c>
      <c r="G7" s="11" t="s">
        <v>59</v>
      </c>
      <c r="H7" s="11" t="s">
        <v>60</v>
      </c>
      <c r="I7" s="10" t="n">
        <v>46255</v>
      </c>
    </row>
    <row r="8" customFormat="false" ht="32.8" hidden="false" customHeight="false" outlineLevel="0" collapsed="false">
      <c r="A8" s="10" t="n">
        <v>46260</v>
      </c>
      <c r="B8" s="11" t="s">
        <v>21</v>
      </c>
      <c r="C8" s="11" t="s">
        <v>12</v>
      </c>
      <c r="D8" s="11" t="s">
        <v>61</v>
      </c>
      <c r="E8" s="12" t="s">
        <v>62</v>
      </c>
      <c r="F8" s="12" t="s">
        <v>63</v>
      </c>
      <c r="G8" s="11" t="s">
        <v>59</v>
      </c>
      <c r="H8" s="11" t="s">
        <v>64</v>
      </c>
      <c r="I8" s="10" t="n">
        <v>46248</v>
      </c>
    </row>
    <row r="9" customFormat="false" ht="32.8" hidden="false" customHeight="false" outlineLevel="0" collapsed="false">
      <c r="A9" s="10" t="n">
        <v>46260</v>
      </c>
      <c r="B9" s="11" t="s">
        <v>21</v>
      </c>
      <c r="C9" s="11" t="s">
        <v>12</v>
      </c>
      <c r="D9" s="11" t="s">
        <v>37</v>
      </c>
      <c r="E9" s="12" t="s">
        <v>65</v>
      </c>
      <c r="F9" s="12" t="s">
        <v>66</v>
      </c>
      <c r="G9" s="11" t="s">
        <v>59</v>
      </c>
      <c r="H9" s="11" t="s">
        <v>67</v>
      </c>
      <c r="I9" s="10" t="n">
        <v>46246</v>
      </c>
    </row>
    <row r="10" customFormat="false" ht="32.8" hidden="false" customHeight="false" outlineLevel="0" collapsed="false">
      <c r="A10" s="10" t="n">
        <v>46260</v>
      </c>
      <c r="B10" s="11" t="s">
        <v>21</v>
      </c>
      <c r="C10" s="11" t="s">
        <v>12</v>
      </c>
      <c r="D10" s="11" t="s">
        <v>37</v>
      </c>
      <c r="E10" s="12" t="s">
        <v>68</v>
      </c>
      <c r="F10" s="12" t="s">
        <v>69</v>
      </c>
      <c r="G10" s="11" t="s">
        <v>59</v>
      </c>
      <c r="H10" s="11" t="s">
        <v>70</v>
      </c>
      <c r="I10" s="10" t="n">
        <v>46247</v>
      </c>
    </row>
    <row r="11" customFormat="false" ht="32.8" hidden="false" customHeight="false" outlineLevel="0" collapsed="false">
      <c r="A11" s="10" t="n">
        <v>46260</v>
      </c>
      <c r="B11" s="11" t="s">
        <v>24</v>
      </c>
      <c r="C11" s="11" t="s">
        <v>14</v>
      </c>
      <c r="D11" s="11" t="s">
        <v>37</v>
      </c>
      <c r="E11" s="12" t="s">
        <v>71</v>
      </c>
      <c r="F11" s="12" t="s">
        <v>72</v>
      </c>
      <c r="G11" s="11" t="s">
        <v>73</v>
      </c>
      <c r="H11" s="11" t="s">
        <v>74</v>
      </c>
      <c r="I11" s="10" t="n">
        <v>46242</v>
      </c>
    </row>
    <row r="12" customFormat="false" ht="32.8" hidden="false" customHeight="false" outlineLevel="0" collapsed="false">
      <c r="A12" s="10" t="n">
        <v>46260</v>
      </c>
      <c r="B12" s="11" t="s">
        <v>24</v>
      </c>
      <c r="C12" s="11" t="s">
        <v>14</v>
      </c>
      <c r="D12" s="11" t="s">
        <v>37</v>
      </c>
      <c r="E12" s="12" t="s">
        <v>75</v>
      </c>
      <c r="F12" s="12" t="s">
        <v>76</v>
      </c>
      <c r="G12" s="11" t="s">
        <v>77</v>
      </c>
      <c r="H12" s="11" t="s">
        <v>78</v>
      </c>
      <c r="I12" s="10" t="n">
        <v>46246</v>
      </c>
    </row>
    <row r="13" customFormat="false" ht="32.8" hidden="false" customHeight="false" outlineLevel="0" collapsed="false">
      <c r="A13" s="10" t="n">
        <v>46260</v>
      </c>
      <c r="B13" s="11" t="s">
        <v>24</v>
      </c>
      <c r="C13" s="11" t="s">
        <v>14</v>
      </c>
      <c r="D13" s="11" t="s">
        <v>37</v>
      </c>
      <c r="E13" s="12" t="s">
        <v>79</v>
      </c>
      <c r="F13" s="12" t="s">
        <v>80</v>
      </c>
      <c r="G13" s="11" t="s">
        <v>81</v>
      </c>
      <c r="H13" s="11" t="s">
        <v>82</v>
      </c>
      <c r="I13" s="10" t="n">
        <v>46253</v>
      </c>
    </row>
    <row r="14" customFormat="false" ht="43.25" hidden="false" customHeight="false" outlineLevel="0" collapsed="false">
      <c r="A14" s="10" t="n">
        <v>46260</v>
      </c>
      <c r="B14" s="11" t="s">
        <v>24</v>
      </c>
      <c r="C14" s="11" t="s">
        <v>14</v>
      </c>
      <c r="D14" s="11" t="s">
        <v>37</v>
      </c>
      <c r="E14" s="12" t="s">
        <v>83</v>
      </c>
      <c r="F14" s="12" t="s">
        <v>84</v>
      </c>
      <c r="G14" s="11" t="s">
        <v>73</v>
      </c>
      <c r="H14" s="11" t="s">
        <v>85</v>
      </c>
      <c r="I14" s="10" t="n">
        <v>46253</v>
      </c>
    </row>
    <row r="15" customFormat="false" ht="43.25" hidden="false" customHeight="false" outlineLevel="0" collapsed="false">
      <c r="A15" s="10" t="n">
        <v>46260</v>
      </c>
      <c r="B15" s="11" t="s">
        <v>24</v>
      </c>
      <c r="C15" s="11" t="s">
        <v>16</v>
      </c>
      <c r="D15" s="11" t="s">
        <v>37</v>
      </c>
      <c r="E15" s="12" t="s">
        <v>86</v>
      </c>
      <c r="F15" s="12" t="s">
        <v>87</v>
      </c>
      <c r="G15" s="11" t="s">
        <v>88</v>
      </c>
      <c r="H15" s="11" t="s">
        <v>89</v>
      </c>
      <c r="I15" s="10" t="n">
        <v>46217</v>
      </c>
    </row>
    <row r="16" customFormat="false" ht="32.8" hidden="false" customHeight="false" outlineLevel="0" collapsed="false">
      <c r="A16" s="10" t="n">
        <v>46260</v>
      </c>
      <c r="B16" s="11" t="s">
        <v>24</v>
      </c>
      <c r="C16" s="11" t="s">
        <v>16</v>
      </c>
      <c r="D16" s="11" t="s">
        <v>90</v>
      </c>
      <c r="E16" s="12" t="s">
        <v>91</v>
      </c>
      <c r="F16" s="12" t="s">
        <v>92</v>
      </c>
      <c r="G16" s="11" t="s">
        <v>93</v>
      </c>
      <c r="H16" s="11" t="s">
        <v>94</v>
      </c>
      <c r="I16" s="10" t="n">
        <v>46202</v>
      </c>
    </row>
    <row r="17" customFormat="false" ht="32.8" hidden="false" customHeight="false" outlineLevel="0" collapsed="false">
      <c r="A17" s="10" t="n">
        <v>46260</v>
      </c>
      <c r="B17" s="11" t="s">
        <v>25</v>
      </c>
      <c r="C17" s="11" t="s">
        <v>12</v>
      </c>
      <c r="D17" s="11" t="s">
        <v>37</v>
      </c>
      <c r="E17" s="12" t="s">
        <v>95</v>
      </c>
      <c r="F17" s="12" t="s">
        <v>96</v>
      </c>
      <c r="G17" s="11" t="s">
        <v>97</v>
      </c>
      <c r="H17" s="11" t="s">
        <v>98</v>
      </c>
      <c r="I17" s="10" t="n">
        <v>46252</v>
      </c>
    </row>
    <row r="18" customFormat="false" ht="32.8" hidden="false" customHeight="false" outlineLevel="0" collapsed="false">
      <c r="A18" s="10" t="n">
        <v>46260</v>
      </c>
      <c r="B18" s="11" t="s">
        <v>25</v>
      </c>
      <c r="C18" s="11" t="s">
        <v>12</v>
      </c>
      <c r="D18" s="11" t="s">
        <v>37</v>
      </c>
      <c r="E18" s="12" t="s">
        <v>99</v>
      </c>
      <c r="F18" s="12" t="s">
        <v>100</v>
      </c>
      <c r="G18" s="11" t="s">
        <v>101</v>
      </c>
      <c r="H18" s="11" t="s">
        <v>102</v>
      </c>
      <c r="I18" s="10" t="n">
        <v>46253</v>
      </c>
    </row>
    <row r="19" customFormat="false" ht="32.8" hidden="false" customHeight="false" outlineLevel="0" collapsed="false">
      <c r="A19" s="10" t="n">
        <v>46260</v>
      </c>
      <c r="B19" s="11" t="s">
        <v>25</v>
      </c>
      <c r="C19" s="11" t="s">
        <v>12</v>
      </c>
      <c r="D19" s="11" t="s">
        <v>61</v>
      </c>
      <c r="E19" s="12" t="s">
        <v>103</v>
      </c>
      <c r="F19" s="12" t="s">
        <v>104</v>
      </c>
      <c r="G19" s="11" t="s">
        <v>105</v>
      </c>
      <c r="H19" s="11" t="s">
        <v>106</v>
      </c>
      <c r="I19" s="10" t="n">
        <v>46244</v>
      </c>
    </row>
    <row r="20" customFormat="false" ht="32.8" hidden="false" customHeight="false" outlineLevel="0" collapsed="false">
      <c r="A20" s="10" t="n">
        <v>46260</v>
      </c>
      <c r="B20" s="11" t="s">
        <v>25</v>
      </c>
      <c r="C20" s="11" t="s">
        <v>12</v>
      </c>
      <c r="D20" s="11" t="s">
        <v>52</v>
      </c>
      <c r="E20" s="12" t="s">
        <v>107</v>
      </c>
      <c r="F20" s="12" t="s">
        <v>108</v>
      </c>
      <c r="G20" s="11" t="s">
        <v>109</v>
      </c>
      <c r="H20" s="11" t="s">
        <v>110</v>
      </c>
      <c r="I20" s="10" t="n">
        <v>46257</v>
      </c>
    </row>
    <row r="21" customFormat="false" ht="22.35" hidden="false" customHeight="false" outlineLevel="0" collapsed="false">
      <c r="A21" s="10" t="n">
        <v>46260</v>
      </c>
      <c r="B21" s="11" t="s">
        <v>25</v>
      </c>
      <c r="C21" s="11" t="s">
        <v>16</v>
      </c>
      <c r="D21" s="11" t="s">
        <v>37</v>
      </c>
      <c r="E21" s="12" t="s">
        <v>111</v>
      </c>
      <c r="F21" s="12" t="s">
        <v>112</v>
      </c>
      <c r="G21" s="11" t="s">
        <v>113</v>
      </c>
      <c r="H21" s="11" t="s">
        <v>114</v>
      </c>
      <c r="I21" s="10" t="n">
        <v>46247</v>
      </c>
    </row>
    <row r="22" customFormat="false" ht="32.8" hidden="false" customHeight="false" outlineLevel="0" collapsed="false">
      <c r="A22" s="10" t="n">
        <v>46260</v>
      </c>
      <c r="B22" s="11" t="s">
        <v>23</v>
      </c>
      <c r="C22" s="11" t="s">
        <v>10</v>
      </c>
      <c r="D22" s="11" t="s">
        <v>90</v>
      </c>
      <c r="E22" s="12" t="s">
        <v>115</v>
      </c>
      <c r="F22" s="12" t="s">
        <v>116</v>
      </c>
      <c r="G22" s="11" t="s">
        <v>117</v>
      </c>
      <c r="H22" s="11" t="s">
        <v>118</v>
      </c>
      <c r="I22" s="10" t="n">
        <v>46240</v>
      </c>
    </row>
    <row r="23" customFormat="false" ht="32.8" hidden="false" customHeight="false" outlineLevel="0" collapsed="false">
      <c r="A23" s="10" t="n">
        <v>46260</v>
      </c>
      <c r="B23" s="11" t="s">
        <v>23</v>
      </c>
      <c r="C23" s="11" t="s">
        <v>8</v>
      </c>
      <c r="D23" s="11" t="s">
        <v>37</v>
      </c>
      <c r="E23" s="12" t="s">
        <v>119</v>
      </c>
      <c r="F23" s="12" t="s">
        <v>120</v>
      </c>
      <c r="G23" s="11" t="s">
        <v>44</v>
      </c>
      <c r="H23" s="11" t="s">
        <v>121</v>
      </c>
      <c r="I23" s="10" t="n">
        <v>46253</v>
      </c>
    </row>
    <row r="24" customFormat="false" ht="32.8" hidden="false" customHeight="false" outlineLevel="0" collapsed="false">
      <c r="A24" s="10" t="n">
        <v>46260</v>
      </c>
      <c r="B24" s="11" t="s">
        <v>23</v>
      </c>
      <c r="C24" s="11" t="s">
        <v>10</v>
      </c>
      <c r="D24" s="11" t="s">
        <v>61</v>
      </c>
      <c r="E24" s="12" t="s">
        <v>122</v>
      </c>
      <c r="F24" s="12" t="s">
        <v>123</v>
      </c>
      <c r="G24" s="11" t="s">
        <v>124</v>
      </c>
      <c r="H24" s="11" t="s">
        <v>125</v>
      </c>
      <c r="I24" s="10" t="n">
        <v>46243</v>
      </c>
    </row>
    <row r="25" customFormat="false" ht="43.25" hidden="false" customHeight="false" outlineLevel="0" collapsed="false">
      <c r="A25" s="10" t="n">
        <v>46260</v>
      </c>
      <c r="B25" s="11" t="s">
        <v>11</v>
      </c>
      <c r="C25" s="11" t="s">
        <v>12</v>
      </c>
      <c r="D25" s="11" t="s">
        <v>61</v>
      </c>
      <c r="E25" s="12" t="s">
        <v>126</v>
      </c>
      <c r="F25" s="12" t="s">
        <v>127</v>
      </c>
      <c r="G25" s="11" t="s">
        <v>128</v>
      </c>
      <c r="H25" s="11" t="s">
        <v>129</v>
      </c>
      <c r="I25" s="10" t="n">
        <v>46245</v>
      </c>
    </row>
    <row r="26" customFormat="false" ht="43.25" hidden="false" customHeight="false" outlineLevel="0" collapsed="false">
      <c r="A26" s="10" t="n">
        <v>46260</v>
      </c>
      <c r="B26" s="11" t="s">
        <v>11</v>
      </c>
      <c r="C26" s="11" t="s">
        <v>14</v>
      </c>
      <c r="D26" s="11" t="s">
        <v>37</v>
      </c>
      <c r="E26" s="12" t="s">
        <v>130</v>
      </c>
      <c r="F26" s="12" t="s">
        <v>131</v>
      </c>
      <c r="G26" s="11" t="s">
        <v>132</v>
      </c>
      <c r="H26" s="11" t="s">
        <v>133</v>
      </c>
      <c r="I26" s="10" t="n">
        <v>46235</v>
      </c>
    </row>
    <row r="27" customFormat="false" ht="32.8" hidden="false" customHeight="false" outlineLevel="0" collapsed="false">
      <c r="A27" s="10" t="n">
        <v>46260</v>
      </c>
      <c r="B27" s="11" t="s">
        <v>11</v>
      </c>
      <c r="C27" s="11" t="s">
        <v>14</v>
      </c>
      <c r="D27" s="11" t="s">
        <v>37</v>
      </c>
      <c r="E27" s="12" t="s">
        <v>134</v>
      </c>
      <c r="F27" s="12" t="s">
        <v>135</v>
      </c>
      <c r="G27" s="11" t="s">
        <v>136</v>
      </c>
      <c r="H27" s="11" t="s">
        <v>137</v>
      </c>
      <c r="I27" s="10" t="n">
        <v>46239</v>
      </c>
    </row>
    <row r="28" customFormat="false" ht="43.25" hidden="false" customHeight="false" outlineLevel="0" collapsed="false">
      <c r="A28" s="10" t="n">
        <v>46260</v>
      </c>
      <c r="B28" s="11" t="s">
        <v>7</v>
      </c>
      <c r="C28" s="11" t="s">
        <v>14</v>
      </c>
      <c r="D28" s="11" t="s">
        <v>37</v>
      </c>
      <c r="E28" s="12" t="s">
        <v>138</v>
      </c>
      <c r="F28" s="12" t="s">
        <v>139</v>
      </c>
      <c r="G28" s="11" t="s">
        <v>140</v>
      </c>
      <c r="H28" s="11" t="s">
        <v>141</v>
      </c>
      <c r="I28" s="10" t="n">
        <v>46245</v>
      </c>
    </row>
    <row r="29" customFormat="false" ht="43.25" hidden="false" customHeight="false" outlineLevel="0" collapsed="false">
      <c r="A29" s="10" t="n">
        <v>46260</v>
      </c>
      <c r="B29" s="11" t="s">
        <v>7</v>
      </c>
      <c r="C29" s="11" t="s">
        <v>16</v>
      </c>
      <c r="D29" s="11" t="s">
        <v>37</v>
      </c>
      <c r="E29" s="12" t="s">
        <v>142</v>
      </c>
      <c r="F29" s="12" t="s">
        <v>143</v>
      </c>
      <c r="G29" s="11" t="s">
        <v>140</v>
      </c>
      <c r="H29" s="11" t="s">
        <v>144</v>
      </c>
      <c r="I29" s="10" t="n">
        <v>46251</v>
      </c>
    </row>
    <row r="30" customFormat="false" ht="32.8" hidden="false" customHeight="false" outlineLevel="0" collapsed="false">
      <c r="A30" s="10" t="n">
        <v>46260</v>
      </c>
      <c r="B30" s="11" t="s">
        <v>7</v>
      </c>
      <c r="C30" s="11" t="s">
        <v>14</v>
      </c>
      <c r="D30" s="11" t="s">
        <v>52</v>
      </c>
      <c r="E30" s="12" t="s">
        <v>145</v>
      </c>
      <c r="F30" s="12" t="s">
        <v>146</v>
      </c>
      <c r="G30" s="11" t="s">
        <v>147</v>
      </c>
      <c r="H30" s="11" t="s">
        <v>148</v>
      </c>
      <c r="I30" s="10" t="n">
        <v>46254</v>
      </c>
    </row>
    <row r="31" customFormat="false" ht="32.8" hidden="false" customHeight="false" outlineLevel="0" collapsed="false">
      <c r="A31" s="10" t="n">
        <v>46260</v>
      </c>
      <c r="B31" s="11" t="s">
        <v>7</v>
      </c>
      <c r="C31" s="11" t="s">
        <v>16</v>
      </c>
      <c r="D31" s="11" t="s">
        <v>46</v>
      </c>
      <c r="E31" s="12" t="s">
        <v>149</v>
      </c>
      <c r="F31" s="12" t="s">
        <v>150</v>
      </c>
      <c r="G31" s="11" t="s">
        <v>151</v>
      </c>
      <c r="H31" s="11" t="s">
        <v>152</v>
      </c>
      <c r="I31" s="10" t="n">
        <v>46209</v>
      </c>
    </row>
    <row r="32" customFormat="false" ht="43.25" hidden="false" customHeight="false" outlineLevel="0" collapsed="false">
      <c r="A32" s="10" t="n">
        <v>46260</v>
      </c>
      <c r="B32" s="11" t="s">
        <v>7</v>
      </c>
      <c r="C32" s="11" t="s">
        <v>16</v>
      </c>
      <c r="D32" s="11" t="s">
        <v>90</v>
      </c>
      <c r="E32" s="12" t="s">
        <v>153</v>
      </c>
      <c r="F32" s="12" t="s">
        <v>154</v>
      </c>
      <c r="G32" s="11" t="s">
        <v>155</v>
      </c>
      <c r="H32" s="11" t="s">
        <v>156</v>
      </c>
      <c r="I32" s="10" t="n">
        <v>46144</v>
      </c>
    </row>
    <row r="33" customFormat="false" ht="32.8" hidden="false" customHeight="false" outlineLevel="0" collapsed="false">
      <c r="A33" s="10" t="n">
        <v>46260</v>
      </c>
      <c r="B33" s="11" t="s">
        <v>15</v>
      </c>
      <c r="C33" s="11" t="s">
        <v>16</v>
      </c>
      <c r="D33" s="11" t="s">
        <v>37</v>
      </c>
      <c r="E33" s="12" t="s">
        <v>157</v>
      </c>
      <c r="F33" s="12" t="s">
        <v>158</v>
      </c>
      <c r="G33" s="11" t="s">
        <v>159</v>
      </c>
      <c r="H33" s="11" t="s">
        <v>160</v>
      </c>
      <c r="I33" s="10" t="n">
        <v>46248</v>
      </c>
    </row>
    <row r="34" customFormat="false" ht="32.8" hidden="false" customHeight="false" outlineLevel="0" collapsed="false">
      <c r="A34" s="10" t="n">
        <v>46260</v>
      </c>
      <c r="B34" s="11" t="s">
        <v>15</v>
      </c>
      <c r="C34" s="11" t="s">
        <v>14</v>
      </c>
      <c r="D34" s="11" t="s">
        <v>61</v>
      </c>
      <c r="E34" s="12" t="s">
        <v>161</v>
      </c>
      <c r="F34" s="12" t="s">
        <v>162</v>
      </c>
      <c r="G34" s="11" t="s">
        <v>163</v>
      </c>
      <c r="H34" s="11" t="s">
        <v>164</v>
      </c>
      <c r="I34" s="10" t="n">
        <v>46239</v>
      </c>
    </row>
    <row r="35" customFormat="false" ht="32.8" hidden="false" customHeight="false" outlineLevel="0" collapsed="false">
      <c r="A35" s="10" t="n">
        <v>46260</v>
      </c>
      <c r="B35" s="11" t="s">
        <v>15</v>
      </c>
      <c r="C35" s="11" t="s">
        <v>14</v>
      </c>
      <c r="D35" s="11" t="s">
        <v>61</v>
      </c>
      <c r="E35" s="12" t="s">
        <v>165</v>
      </c>
      <c r="F35" s="12" t="s">
        <v>166</v>
      </c>
      <c r="G35" s="11" t="s">
        <v>167</v>
      </c>
      <c r="H35" s="11" t="s">
        <v>168</v>
      </c>
      <c r="I35" s="10" t="n">
        <v>46226</v>
      </c>
    </row>
    <row r="36" customFormat="false" ht="32.8" hidden="false" customHeight="false" outlineLevel="0" collapsed="false">
      <c r="A36" s="10" t="n">
        <v>46260</v>
      </c>
      <c r="B36" s="11" t="s">
        <v>15</v>
      </c>
      <c r="C36" s="11" t="s">
        <v>18</v>
      </c>
      <c r="D36" s="11" t="s">
        <v>52</v>
      </c>
      <c r="E36" s="12" t="s">
        <v>169</v>
      </c>
      <c r="F36" s="12" t="s">
        <v>170</v>
      </c>
      <c r="G36" s="11" t="s">
        <v>171</v>
      </c>
      <c r="H36" s="11" t="s">
        <v>172</v>
      </c>
      <c r="I36" s="10" t="n">
        <v>46248</v>
      </c>
    </row>
    <row r="37" customFormat="false" ht="32.8" hidden="false" customHeight="false" outlineLevel="0" collapsed="false">
      <c r="A37" s="10" t="n">
        <v>46260</v>
      </c>
      <c r="B37" s="11" t="s">
        <v>9</v>
      </c>
      <c r="C37" s="11" t="s">
        <v>16</v>
      </c>
      <c r="D37" s="11" t="s">
        <v>37</v>
      </c>
      <c r="E37" s="12" t="s">
        <v>173</v>
      </c>
      <c r="F37" s="12" t="s">
        <v>174</v>
      </c>
      <c r="G37" s="11" t="s">
        <v>140</v>
      </c>
      <c r="H37" s="11" t="s">
        <v>175</v>
      </c>
      <c r="I37" s="10" t="n">
        <v>46225</v>
      </c>
    </row>
    <row r="38" customFormat="false" ht="43.25" hidden="false" customHeight="false" outlineLevel="0" collapsed="false">
      <c r="A38" s="10" t="n">
        <v>46260</v>
      </c>
      <c r="B38" s="11" t="s">
        <v>9</v>
      </c>
      <c r="C38" s="11" t="s">
        <v>14</v>
      </c>
      <c r="D38" s="11" t="s">
        <v>37</v>
      </c>
      <c r="E38" s="12" t="s">
        <v>176</v>
      </c>
      <c r="F38" s="12" t="s">
        <v>177</v>
      </c>
      <c r="G38" s="11" t="s">
        <v>178</v>
      </c>
      <c r="H38" s="11" t="s">
        <v>179</v>
      </c>
      <c r="I38" s="10" t="n">
        <v>46235</v>
      </c>
    </row>
    <row r="39" customFormat="false" ht="32.8" hidden="false" customHeight="false" outlineLevel="0" collapsed="false">
      <c r="A39" s="10" t="n">
        <v>46260</v>
      </c>
      <c r="B39" s="11" t="s">
        <v>19</v>
      </c>
      <c r="C39" s="11" t="s">
        <v>14</v>
      </c>
      <c r="D39" s="11" t="s">
        <v>37</v>
      </c>
      <c r="E39" s="12" t="s">
        <v>180</v>
      </c>
      <c r="F39" s="12" t="s">
        <v>181</v>
      </c>
      <c r="G39" s="11" t="s">
        <v>182</v>
      </c>
      <c r="H39" s="11" t="s">
        <v>183</v>
      </c>
      <c r="I39" s="10" t="n">
        <v>46168</v>
      </c>
    </row>
    <row r="40" customFormat="false" ht="32.8" hidden="false" customHeight="false" outlineLevel="0" collapsed="false">
      <c r="A40" s="10" t="n">
        <v>46260</v>
      </c>
      <c r="B40" s="11" t="s">
        <v>19</v>
      </c>
      <c r="C40" s="11" t="s">
        <v>12</v>
      </c>
      <c r="D40" s="11" t="s">
        <v>61</v>
      </c>
      <c r="E40" s="12" t="s">
        <v>184</v>
      </c>
      <c r="F40" s="12" t="s">
        <v>185</v>
      </c>
      <c r="G40" s="11" t="s">
        <v>186</v>
      </c>
      <c r="H40" s="11" t="s">
        <v>187</v>
      </c>
      <c r="I40" s="10" t="n">
        <v>46254</v>
      </c>
    </row>
    <row r="41" customFormat="false" ht="43.25" hidden="false" customHeight="false" outlineLevel="0" collapsed="false">
      <c r="A41" s="10" t="n">
        <v>46260</v>
      </c>
      <c r="B41" s="11" t="s">
        <v>13</v>
      </c>
      <c r="C41" s="11" t="s">
        <v>8</v>
      </c>
      <c r="D41" s="11" t="s">
        <v>37</v>
      </c>
      <c r="E41" s="12" t="s">
        <v>188</v>
      </c>
      <c r="F41" s="12" t="s">
        <v>189</v>
      </c>
      <c r="G41" s="11" t="s">
        <v>40</v>
      </c>
      <c r="H41" s="11" t="s">
        <v>190</v>
      </c>
      <c r="I41" s="10" t="n">
        <v>46249</v>
      </c>
    </row>
    <row r="42" customFormat="false" ht="43.25" hidden="false" customHeight="false" outlineLevel="0" collapsed="false">
      <c r="A42" s="10" t="n">
        <v>46260</v>
      </c>
      <c r="B42" s="11" t="s">
        <v>13</v>
      </c>
      <c r="C42" s="11" t="s">
        <v>8</v>
      </c>
      <c r="D42" s="11" t="s">
        <v>37</v>
      </c>
      <c r="E42" s="12" t="s">
        <v>191</v>
      </c>
      <c r="F42" s="12" t="s">
        <v>192</v>
      </c>
      <c r="G42" s="11" t="s">
        <v>140</v>
      </c>
      <c r="H42" s="11" t="s">
        <v>193</v>
      </c>
      <c r="I42" s="10" t="n">
        <v>46244</v>
      </c>
    </row>
    <row r="43" customFormat="false" ht="32.8" hidden="false" customHeight="false" outlineLevel="0" collapsed="false">
      <c r="A43" s="10" t="n">
        <v>46260</v>
      </c>
      <c r="B43" s="11" t="s">
        <v>13</v>
      </c>
      <c r="C43" s="11" t="s">
        <v>12</v>
      </c>
      <c r="D43" s="11" t="s">
        <v>37</v>
      </c>
      <c r="E43" s="12" t="s">
        <v>194</v>
      </c>
      <c r="F43" s="12" t="s">
        <v>195</v>
      </c>
      <c r="G43" s="11" t="s">
        <v>196</v>
      </c>
      <c r="H43" s="11" t="s">
        <v>197</v>
      </c>
      <c r="I43" s="10" t="n">
        <v>46238</v>
      </c>
    </row>
    <row r="44" customFormat="false" ht="32.8" hidden="false" customHeight="false" outlineLevel="0" collapsed="false">
      <c r="A44" s="10" t="n">
        <v>46260</v>
      </c>
      <c r="B44" s="11" t="s">
        <v>13</v>
      </c>
      <c r="C44" s="11" t="s">
        <v>12</v>
      </c>
      <c r="D44" s="11" t="s">
        <v>37</v>
      </c>
      <c r="E44" s="12" t="s">
        <v>198</v>
      </c>
      <c r="F44" s="12" t="s">
        <v>199</v>
      </c>
      <c r="G44" s="11" t="s">
        <v>200</v>
      </c>
      <c r="H44" s="11" t="s">
        <v>201</v>
      </c>
      <c r="I44" s="10" t="n">
        <v>46246</v>
      </c>
    </row>
    <row r="45" customFormat="false" ht="43.25" hidden="false" customHeight="false" outlineLevel="0" collapsed="false">
      <c r="A45" s="10" t="n">
        <v>46260</v>
      </c>
      <c r="B45" s="11" t="s">
        <v>13</v>
      </c>
      <c r="C45" s="11" t="s">
        <v>18</v>
      </c>
      <c r="D45" s="11" t="s">
        <v>61</v>
      </c>
      <c r="E45" s="12" t="s">
        <v>202</v>
      </c>
      <c r="F45" s="12" t="s">
        <v>203</v>
      </c>
      <c r="G45" s="11" t="s">
        <v>204</v>
      </c>
      <c r="H45" s="11" t="s">
        <v>205</v>
      </c>
      <c r="I45" s="10" t="n">
        <v>46235</v>
      </c>
    </row>
    <row r="46" customFormat="false" ht="32.8" hidden="false" customHeight="false" outlineLevel="0" collapsed="false">
      <c r="A46" s="10" t="n">
        <v>46260</v>
      </c>
      <c r="B46" s="11" t="s">
        <v>13</v>
      </c>
      <c r="C46" s="11" t="s">
        <v>18</v>
      </c>
      <c r="D46" s="11" t="s">
        <v>37</v>
      </c>
      <c r="E46" s="12" t="s">
        <v>206</v>
      </c>
      <c r="F46" s="12" t="s">
        <v>207</v>
      </c>
      <c r="G46" s="11" t="s">
        <v>140</v>
      </c>
      <c r="H46" s="11" t="s">
        <v>208</v>
      </c>
      <c r="I46" s="10" t="n">
        <v>46254</v>
      </c>
    </row>
  </sheetData>
  <autoFilter ref="A1:I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2026-08-26T10:29:54Z</dcterms:created>
  <dc:creator>openpyxl</dc:creator>
  <dc:description/>
  <dc:language>en-US</dc:language>
  <cp:lastModifiedBy/>
  <dcterms:modified xsi:type="dcterms:W3CDTF">2026-08-26T10:29:54Z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