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Raw Rows (Last 30 Days)"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10"/>
    </font>
    <font>
      <name val="Arial"/>
      <b val="1"/>
    </font>
    <font>
      <name val="Arial"/>
      <b val="1"/>
      <color rgb="00FFFFFF"/>
    </font>
    <font>
      <name val="Arial"/>
    </font>
  </fonts>
  <fills count="3">
    <fill>
      <patternFill/>
    </fill>
    <fill>
      <patternFill patternType="gray125"/>
    </fill>
    <fill>
      <patternFill patternType="solid">
        <fgColor rgb="001F3864"/>
        <b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5" fillId="0" borderId="0" applyAlignment="1" pivotButton="0" quotePrefix="0" xfId="0">
      <alignment vertical="top"/>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2"/>
  <sheetViews>
    <sheetView workbookViewId="0">
      <selection activeCell="A1" sqref="A1"/>
    </sheetView>
  </sheetViews>
  <sheetFormatPr baseColWidth="8" defaultRowHeight="15"/>
  <cols>
    <col width="32" customWidth="1" min="1" max="1"/>
    <col width="12" customWidth="1" min="2" max="2"/>
  </cols>
  <sheetData>
    <row r="1">
      <c r="A1" s="1" t="inlineStr">
        <is>
          <t>Industry Intelligence Cockpit — Last 30 Days Story Log</t>
        </is>
      </c>
    </row>
    <row r="2">
      <c r="A2" s="2" t="inlineStr">
        <is>
          <t>Generated 2026-08-11 | Window: 2026-07-12 to 2026-08-11 | Rows in window: 25</t>
        </is>
      </c>
    </row>
    <row r="4">
      <c r="A4" s="3" t="inlineStr">
        <is>
          <t>Counts by Vertical</t>
        </is>
      </c>
    </row>
    <row r="5">
      <c r="A5" s="4" t="inlineStr">
        <is>
          <t>Vertical</t>
        </is>
      </c>
      <c r="B5" s="4" t="inlineStr">
        <is>
          <t>Count</t>
        </is>
      </c>
    </row>
    <row r="6">
      <c r="A6" s="5" t="inlineStr">
        <is>
          <t>Health Insurance / Payer</t>
        </is>
      </c>
      <c r="B6" s="5" t="n">
        <v>3</v>
      </c>
    </row>
    <row r="7">
      <c r="A7" s="5" t="inlineStr">
        <is>
          <t>Investments</t>
        </is>
      </c>
      <c r="B7" s="5" t="n">
        <v>3</v>
      </c>
    </row>
    <row r="8">
      <c r="A8" s="5" t="inlineStr">
        <is>
          <t>BrokerTech</t>
        </is>
      </c>
      <c r="B8" s="5" t="n">
        <v>2</v>
      </c>
    </row>
    <row r="9">
      <c r="A9" s="5" t="inlineStr">
        <is>
          <t>Brokers &amp; MGA/GA</t>
        </is>
      </c>
      <c r="B9" s="5" t="n">
        <v>2</v>
      </c>
    </row>
    <row r="10">
      <c r="A10" s="5" t="inlineStr">
        <is>
          <t>FinTech</t>
        </is>
      </c>
      <c r="B10" s="5" t="n">
        <v>2</v>
      </c>
    </row>
    <row r="11">
      <c r="A11" s="5" t="inlineStr">
        <is>
          <t>Healthcare / Provider &amp; Clinical</t>
        </is>
      </c>
      <c r="B11" s="5" t="n">
        <v>2</v>
      </c>
    </row>
    <row r="12">
      <c r="A12" s="5" t="inlineStr">
        <is>
          <t>Insurtech</t>
        </is>
      </c>
      <c r="B12" s="5" t="n">
        <v>2</v>
      </c>
    </row>
    <row r="13">
      <c r="A13" s="5" t="inlineStr">
        <is>
          <t>Life &amp; Annuities</t>
        </is>
      </c>
      <c r="B13" s="5" t="n">
        <v>2</v>
      </c>
    </row>
    <row r="14">
      <c r="A14" s="5" t="inlineStr">
        <is>
          <t>Property &amp; Casualty</t>
        </is>
      </c>
      <c r="B14" s="5" t="n">
        <v>2</v>
      </c>
    </row>
    <row r="15">
      <c r="A15" s="5" t="inlineStr">
        <is>
          <t>TPA</t>
        </is>
      </c>
      <c r="B15" s="5" t="n">
        <v>2</v>
      </c>
    </row>
    <row r="16">
      <c r="A16" s="5" t="inlineStr">
        <is>
          <t>Wealth Management</t>
        </is>
      </c>
      <c r="B16" s="5" t="n">
        <v>2</v>
      </c>
    </row>
    <row r="17">
      <c r="A17" s="5" t="inlineStr">
        <is>
          <t>Retirement</t>
        </is>
      </c>
      <c r="B17" s="5" t="n">
        <v>1</v>
      </c>
    </row>
    <row r="18">
      <c r="A18" s="3" t="inlineStr">
        <is>
          <t>Total</t>
        </is>
      </c>
      <c r="B18" s="3">
        <f>SUM(B6:B17)</f>
        <v/>
      </c>
    </row>
    <row r="20">
      <c r="A20" s="3" t="inlineStr">
        <is>
          <t>Counts by Lens</t>
        </is>
      </c>
    </row>
    <row r="21">
      <c r="A21" s="4" t="inlineStr">
        <is>
          <t>Lens</t>
        </is>
      </c>
      <c r="B21" s="4" t="inlineStr">
        <is>
          <t>Count</t>
        </is>
      </c>
    </row>
    <row r="22">
      <c r="A22" s="5" t="inlineStr">
        <is>
          <t>Market Economics</t>
        </is>
      </c>
      <c r="B22" s="5" t="n">
        <v>9</v>
      </c>
    </row>
    <row r="23">
      <c r="A23" s="5" t="inlineStr">
        <is>
          <t>Technology &amp; AI</t>
        </is>
      </c>
      <c r="B23" s="5" t="n">
        <v>4</v>
      </c>
    </row>
    <row r="24">
      <c r="A24" s="5" t="inlineStr">
        <is>
          <t>People &amp; Leadership</t>
        </is>
      </c>
      <c r="B24" s="5" t="n">
        <v>3</v>
      </c>
    </row>
    <row r="25">
      <c r="A25" s="5" t="inlineStr">
        <is>
          <t>M&amp;A</t>
        </is>
      </c>
      <c r="B25" s="5" t="n">
        <v>3</v>
      </c>
    </row>
    <row r="26">
      <c r="A26" s="5" t="inlineStr">
        <is>
          <t>Regulatory &amp; Policy</t>
        </is>
      </c>
      <c r="B26" s="5" t="n">
        <v>3</v>
      </c>
    </row>
    <row r="27">
      <c r="A27" s="5" t="inlineStr">
        <is>
          <t>Investments &amp; Funding</t>
        </is>
      </c>
      <c r="B27" s="5" t="n">
        <v>3</v>
      </c>
    </row>
    <row r="28">
      <c r="A28" s="3" t="inlineStr">
        <is>
          <t>Total</t>
        </is>
      </c>
      <c r="B28" s="3">
        <f>SUM(B22:B27)</f>
        <v/>
      </c>
    </row>
    <row r="30">
      <c r="A30" s="3" t="inlineStr">
        <is>
          <t>Counts by Geography</t>
        </is>
      </c>
    </row>
    <row r="31">
      <c r="A31" s="4" t="inlineStr">
        <is>
          <t>Geography</t>
        </is>
      </c>
      <c r="B31" s="4" t="inlineStr">
        <is>
          <t>Count</t>
        </is>
      </c>
    </row>
    <row r="32">
      <c r="A32" s="5" t="inlineStr">
        <is>
          <t>United States</t>
        </is>
      </c>
      <c r="B32" s="5" t="n">
        <v>14</v>
      </c>
    </row>
    <row r="33">
      <c r="A33" s="5" t="inlineStr">
        <is>
          <t>Global</t>
        </is>
      </c>
      <c r="B33" s="5" t="n">
        <v>6</v>
      </c>
    </row>
    <row r="34">
      <c r="A34" s="5" t="inlineStr">
        <is>
          <t>UK/Europe</t>
        </is>
      </c>
      <c r="B34" s="5" t="n">
        <v>3</v>
      </c>
    </row>
    <row r="35">
      <c r="A35" s="5" t="inlineStr">
        <is>
          <t>India</t>
        </is>
      </c>
      <c r="B35" s="5" t="n">
        <v>1</v>
      </c>
    </row>
    <row r="36">
      <c r="A36" s="5" t="inlineStr">
        <is>
          <t>APAC</t>
        </is>
      </c>
      <c r="B36" s="5" t="n">
        <v>1</v>
      </c>
    </row>
    <row r="37">
      <c r="A37" s="3" t="inlineStr">
        <is>
          <t>Total</t>
        </is>
      </c>
      <c r="B37" s="3">
        <f>SUM(B32:B36)</f>
        <v/>
      </c>
    </row>
    <row r="39">
      <c r="A39" s="3" t="inlineStr">
        <is>
          <t>Counts by Week (week starting)</t>
        </is>
      </c>
    </row>
    <row r="40">
      <c r="A40" s="4" t="inlineStr">
        <is>
          <t>Week Of</t>
        </is>
      </c>
      <c r="B40" s="4" t="inlineStr">
        <is>
          <t>Count</t>
        </is>
      </c>
    </row>
    <row r="41">
      <c r="A41" s="5" t="inlineStr">
        <is>
          <t>2026-08-10</t>
        </is>
      </c>
      <c r="B41" s="5" t="n">
        <v>25</v>
      </c>
    </row>
    <row r="42">
      <c r="A42" s="3" t="inlineStr">
        <is>
          <t>Total</t>
        </is>
      </c>
      <c r="B42" s="3">
        <f>SUM(B41:B41)</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16" customWidth="1" min="3" max="3"/>
    <col width="14" customWidth="1" min="4" max="4"/>
    <col width="42" customWidth="1" min="5" max="5"/>
    <col width="55" customWidth="1" min="6" max="6"/>
    <col width="16" customWidth="1" min="7" max="7"/>
    <col width="40" customWidth="1" min="8" max="8"/>
    <col width="12" customWidth="1" min="9" max="9"/>
  </cols>
  <sheetData>
    <row r="1">
      <c r="A1" s="4" t="inlineStr">
        <is>
          <t>date_added</t>
        </is>
      </c>
      <c r="B1" s="4" t="inlineStr">
        <is>
          <t>vertical</t>
        </is>
      </c>
      <c r="C1" s="4" t="inlineStr">
        <is>
          <t>lens</t>
        </is>
      </c>
      <c r="D1" s="4" t="inlineStr">
        <is>
          <t>geography</t>
        </is>
      </c>
      <c r="E1" s="4" t="inlineStr">
        <is>
          <t>headline</t>
        </is>
      </c>
      <c r="F1" s="4" t="inlineStr">
        <is>
          <t>summary</t>
        </is>
      </c>
      <c r="G1" s="4" t="inlineStr">
        <is>
          <t>source_name</t>
        </is>
      </c>
      <c r="H1" s="4" t="inlineStr">
        <is>
          <t>source_url</t>
        </is>
      </c>
      <c r="I1" s="4" t="inlineStr">
        <is>
          <t>story_date</t>
        </is>
      </c>
    </row>
    <row r="2">
      <c r="A2" s="6" t="inlineStr">
        <is>
          <t>2026-08-11</t>
        </is>
      </c>
      <c r="B2" s="6" t="inlineStr">
        <is>
          <t>BrokerTech</t>
        </is>
      </c>
      <c r="C2" s="6" t="inlineStr">
        <is>
          <t>People &amp; Leadership</t>
        </is>
      </c>
      <c r="D2" s="6" t="inlineStr">
        <is>
          <t>United States</t>
        </is>
      </c>
      <c r="E2" s="7" t="inlineStr">
        <is>
          <t>BrokerTech Ventures sets September Chicago summit for broker-insurtech dealmaking</t>
        </is>
      </c>
      <c r="F2" s="7" t="inlineStr">
        <is>
          <t>BrokerTech Ventures announced its second annual BrokerTech Connect conference for September 1-2, 2026 in Chicago, bringing together C-suite leaders from brokerages, carriers, wholesalers and insurtech startups for dealmaking and innovation dialogue.</t>
        </is>
      </c>
      <c r="G2" s="6" t="inlineStr">
        <is>
          <t>PR Newswire</t>
        </is>
      </c>
      <c r="H2" s="6" t="inlineStr">
        <is>
          <t>https://www.prnewswire.com/news-releases/brokertech-ventures-announces-brokertech-connect-chicago-2026-bringing-together-insurance-and-insurtech-leaders-302804627.html</t>
        </is>
      </c>
      <c r="I2" s="6" t="inlineStr">
        <is>
          <t>2026-06-18</t>
        </is>
      </c>
    </row>
    <row r="3">
      <c r="A3" s="6" t="inlineStr">
        <is>
          <t>2026-08-11</t>
        </is>
      </c>
      <c r="B3" s="6" t="inlineStr">
        <is>
          <t>BrokerTech</t>
        </is>
      </c>
      <c r="C3" s="6" t="inlineStr">
        <is>
          <t>People &amp; Leadership</t>
        </is>
      </c>
      <c r="D3" s="6" t="inlineStr">
        <is>
          <t>United States</t>
        </is>
      </c>
      <c r="E3" s="7" t="inlineStr">
        <is>
          <t>Insurity names Jatin Atre CEO with $100 million AI commitment</t>
        </is>
      </c>
      <c r="F3" s="7" t="inlineStr">
        <is>
          <t>P&amp;C-focused insurance software provider Insurity appointed Jatin Atre as CEO, succeeding Jeff Clarke who becomes executive chairman, alongside a new $100 million commitment over two years to modernize core systems with embedded AI.</t>
        </is>
      </c>
      <c r="G3" s="6" t="inlineStr">
        <is>
          <t>Insurity</t>
        </is>
      </c>
      <c r="H3" s="6" t="inlineStr">
        <is>
          <t>https://insurity.com/press-release/insurity-appoints-jatin-atre-as-chief-executive-officer</t>
        </is>
      </c>
      <c r="I3" s="6" t="inlineStr">
        <is>
          <t>2026-06-30</t>
        </is>
      </c>
    </row>
    <row r="4">
      <c r="A4" s="6" t="inlineStr">
        <is>
          <t>2026-08-11</t>
        </is>
      </c>
      <c r="B4" s="6" t="inlineStr">
        <is>
          <t>Brokers &amp; MGA/GA</t>
        </is>
      </c>
      <c r="C4" s="6" t="inlineStr">
        <is>
          <t>M&amp;A</t>
        </is>
      </c>
      <c r="D4" s="6" t="inlineStr">
        <is>
          <t>United States</t>
        </is>
      </c>
      <c r="E4" s="7" t="inlineStr">
        <is>
          <t>Gallagher's RPS wholesale unit acquires MGA Med James</t>
        </is>
      </c>
      <c r="F4" s="7" t="inlineStr">
        <is>
          <t>Arthur J. Gallagher's wholesale brokerage division Risk Placement Services acquired Overland Park, Kansas-based Med James, a managing general agency and wholesale broker, expanding RPS's capabilities in the north-central region.</t>
        </is>
      </c>
      <c r="G4" s="6" t="inlineStr">
        <is>
          <t>PR Newswire</t>
        </is>
      </c>
      <c r="H4" s="6" t="inlineStr">
        <is>
          <t>https://www.prnewswire.com/news-releases/arthur-j-gallagher--co-acquires-med-james-inc-302820373.html</t>
        </is>
      </c>
      <c r="I4" s="6" t="inlineStr">
        <is>
          <t>2026-07-09</t>
        </is>
      </c>
    </row>
    <row r="5">
      <c r="A5" s="6" t="inlineStr">
        <is>
          <t>2026-08-11</t>
        </is>
      </c>
      <c r="B5" s="6" t="inlineStr">
        <is>
          <t>Brokers &amp; MGA/GA</t>
        </is>
      </c>
      <c r="C5" s="6" t="inlineStr">
        <is>
          <t>Regulatory &amp; Policy</t>
        </is>
      </c>
      <c r="D5" s="6" t="inlineStr">
        <is>
          <t>India</t>
        </is>
      </c>
      <c r="E5" s="7" t="inlineStr">
        <is>
          <t>IRDAI weighs overhaul of insurance distributor commissions</t>
        </is>
      </c>
      <c r="F5" s="7" t="inlineStr">
        <is>
          <t>India's insurance regulator is considering replacing large upfront distributor commissions, currently as high as 40% on some life and health products, with payments staggered over a policy's life to curb mis-selling and align with global norms.</t>
        </is>
      </c>
      <c r="G5" s="6" t="inlineStr">
        <is>
          <t>Business Today</t>
        </is>
      </c>
      <c r="H5" s="6" t="inlineStr">
        <is>
          <t>https://www.businesstoday.in/personal-finance/insurance/story/insurance-commission-overhaul-irdais-proposal-can-boost-customer-trust-curb-mis-selling-experts-541797-2026-07-09</t>
        </is>
      </c>
      <c r="I5" s="6" t="inlineStr">
        <is>
          <t>2026-07-09</t>
        </is>
      </c>
    </row>
    <row r="6">
      <c r="A6" s="6" t="inlineStr">
        <is>
          <t>2026-08-11</t>
        </is>
      </c>
      <c r="B6" s="6" t="inlineStr">
        <is>
          <t>FinTech</t>
        </is>
      </c>
      <c r="C6" s="6" t="inlineStr">
        <is>
          <t>Investments &amp; Funding</t>
        </is>
      </c>
      <c r="D6" s="6" t="inlineStr">
        <is>
          <t>Global</t>
        </is>
      </c>
      <c r="E6" s="7" t="inlineStr">
        <is>
          <t>Weekly fintech funding falls to $673 million as deal pace slows</t>
        </is>
      </c>
      <c r="F6" s="7" t="inlineStr">
        <is>
          <t>Fintech startups raised a combined $673 million across 15 deals in the first week of August 2026, a sharp pullback from the $2.03 billion raised the prior week, reflecting more selective investor appetite.</t>
        </is>
      </c>
      <c r="G6" s="6" t="inlineStr">
        <is>
          <t>FinTech Global</t>
        </is>
      </c>
      <c r="H6" s="6" t="inlineStr">
        <is>
          <t>https://fintech.global/2026/08/07/a-total-of-673m-was-raised-across-15-fintech-deals-this-week/</t>
        </is>
      </c>
      <c r="I6" s="6" t="inlineStr">
        <is>
          <t>2026-08-07</t>
        </is>
      </c>
    </row>
    <row r="7">
      <c r="A7" s="6" t="inlineStr">
        <is>
          <t>2026-08-11</t>
        </is>
      </c>
      <c r="B7" s="6" t="inlineStr">
        <is>
          <t>FinTech</t>
        </is>
      </c>
      <c r="C7" s="6" t="inlineStr">
        <is>
          <t>Technology &amp; AI</t>
        </is>
      </c>
      <c r="D7" s="6" t="inlineStr">
        <is>
          <t>Global</t>
        </is>
      </c>
      <c r="E7" s="7" t="inlineStr">
        <is>
          <t>AI governance becomes central theme for insurance's next phase</t>
        </is>
      </c>
      <c r="F7" s="7" t="inlineStr">
        <is>
          <t>Industry commentary points to governance, accountability and decision intelligence displacing pure AI experimentation as the focus for insurers, as the sector moves from pilot projects toward structured, auditable AI adoption.</t>
        </is>
      </c>
      <c r="G7" s="6" t="inlineStr">
        <is>
          <t>FinTech Global</t>
        </is>
      </c>
      <c r="H7" s="6" t="inlineStr">
        <is>
          <t>https://fintech.global/2026/08/04/why-ai-governance-is-shaping-insurances-next-phase/</t>
        </is>
      </c>
      <c r="I7" s="6" t="inlineStr">
        <is>
          <t>2026-08-04</t>
        </is>
      </c>
    </row>
    <row r="8">
      <c r="A8" s="6" t="inlineStr">
        <is>
          <t>2026-08-11</t>
        </is>
      </c>
      <c r="B8" s="6" t="inlineStr">
        <is>
          <t>Health Insurance / Payer</t>
        </is>
      </c>
      <c r="C8" s="6" t="inlineStr">
        <is>
          <t>Market Economics</t>
        </is>
      </c>
      <c r="D8" s="6" t="inlineStr">
        <is>
          <t>United States</t>
        </is>
      </c>
      <c r="E8" s="7" t="inlineStr">
        <is>
          <t>UnitedHealth beats Q2 estimates and raises full-year guidance</t>
        </is>
      </c>
      <c r="F8" s="7" t="inlineStr">
        <is>
          <t>UnitedHealth Group reported second-quarter adjusted earnings per share of $6.38, up 56% year over year, and raised its 2026 adjusted earnings outlook to $19.50-$20 per share as revenue rose to $112 billion.</t>
        </is>
      </c>
      <c r="G8" s="6" t="inlineStr">
        <is>
          <t>CNBC</t>
        </is>
      </c>
      <c r="H8" s="6" t="inlineStr">
        <is>
          <t>https://www.cnbc.com/2026/07/16/unitedhealth-group-unh-earnings-q2-2026.html</t>
        </is>
      </c>
      <c r="I8" s="6" t="inlineStr">
        <is>
          <t>2026-07-16</t>
        </is>
      </c>
    </row>
    <row r="9">
      <c r="A9" s="6" t="inlineStr">
        <is>
          <t>2026-08-11</t>
        </is>
      </c>
      <c r="B9" s="6" t="inlineStr">
        <is>
          <t>Health Insurance / Payer</t>
        </is>
      </c>
      <c r="C9" s="6" t="inlineStr">
        <is>
          <t>Market Economics</t>
        </is>
      </c>
      <c r="D9" s="6" t="inlineStr">
        <is>
          <t>United States</t>
        </is>
      </c>
      <c r="E9" s="7" t="inlineStr">
        <is>
          <t>Centene swings to over $1 billion profit and hikes 2026 guidance</t>
        </is>
      </c>
      <c r="F9" s="7" t="inlineStr">
        <is>
          <t>Centene reported $1.1 billion in second-quarter profit on $53.6 billion in revenue, up 10% year over year, and raised its 2026 adjusted earnings outlook to above $4.80 per share amid stronger ACA and Medicaid trends.</t>
        </is>
      </c>
      <c r="G9" s="6" t="inlineStr">
        <is>
          <t>Healthcare Dive</t>
        </is>
      </c>
      <c r="H9" s="6" t="inlineStr">
        <is>
          <t>https://www.healthcaredive.com/news/centene-cnc-q2-2026-guidance-hike-aca-medicaid/826286/</t>
        </is>
      </c>
      <c r="I9" s="6" t="inlineStr">
        <is>
          <t>2026-07-25</t>
        </is>
      </c>
    </row>
    <row r="10">
      <c r="A10" s="6" t="inlineStr">
        <is>
          <t>2026-08-11</t>
        </is>
      </c>
      <c r="B10" s="6" t="inlineStr">
        <is>
          <t>Health Insurance / Payer</t>
        </is>
      </c>
      <c r="C10" s="6" t="inlineStr">
        <is>
          <t>Regulatory &amp; Policy</t>
        </is>
      </c>
      <c r="D10" s="6" t="inlineStr">
        <is>
          <t>United States</t>
        </is>
      </c>
      <c r="E10" s="7" t="inlineStr">
        <is>
          <t>CMS strengthens Medicare Advantage prior-authorization protections</t>
        </is>
      </c>
      <c r="F10" s="7" t="inlineStr">
        <is>
          <t>CMS's 2026 final rule restricts Medicare Advantage plans from reopening previously approved inpatient admissions except for error or fraud, and requires decisions within 72 hours for expedited requests and seven days for standard requests.</t>
        </is>
      </c>
      <c r="G10" s="6" t="inlineStr">
        <is>
          <t>Becker's Payer Issues</t>
        </is>
      </c>
      <c r="H10" s="6" t="inlineStr">
        <is>
          <t>https://www.beckerspayer.com/policy-updates/notable-health-insurance-policies-taking-effect-in-2026/</t>
        </is>
      </c>
      <c r="I10" s="6" t="inlineStr">
        <is>
          <t>2026-08-01</t>
        </is>
      </c>
    </row>
    <row r="11">
      <c r="A11" s="6" t="inlineStr">
        <is>
          <t>2026-08-11</t>
        </is>
      </c>
      <c r="B11" s="6" t="inlineStr">
        <is>
          <t>Healthcare / Provider &amp; Clinical</t>
        </is>
      </c>
      <c r="C11" s="6" t="inlineStr">
        <is>
          <t>M&amp;A</t>
        </is>
      </c>
      <c r="D11" s="6" t="inlineStr">
        <is>
          <t>Global</t>
        </is>
      </c>
      <c r="E11" s="7" t="inlineStr">
        <is>
          <t>Roche to acquire AI pathology firm PathAI for up to $1.05 billion</t>
        </is>
      </c>
      <c r="F11" s="7" t="inlineStr">
        <is>
          <t>Roche agreed to acquire Boston-based PathAI, developer of the AISight AI-assisted digital pathology platform, in a deal worth up to $1.05 billion including milestone payments, deepening a partnership the companies have run since 2021.</t>
        </is>
      </c>
      <c r="G11" s="6" t="inlineStr">
        <is>
          <t>MedTech Dive</t>
        </is>
      </c>
      <c r="H11" s="6" t="inlineStr">
        <is>
          <t>https://www.medtechdive.com/news/roche-to-acquire-digital-pathology-firm-pathai-for-up-to-105b/819589/</t>
        </is>
      </c>
      <c r="I11" s="6" t="inlineStr">
        <is>
          <t>2026-07-18</t>
        </is>
      </c>
    </row>
    <row r="12">
      <c r="A12" s="6" t="inlineStr">
        <is>
          <t>2026-08-11</t>
        </is>
      </c>
      <c r="B12" s="6" t="inlineStr">
        <is>
          <t>Healthcare / Provider &amp; Clinical</t>
        </is>
      </c>
      <c r="C12" s="6" t="inlineStr">
        <is>
          <t>Technology &amp; AI</t>
        </is>
      </c>
      <c r="D12" s="6" t="inlineStr">
        <is>
          <t>United States</t>
        </is>
      </c>
      <c r="E12" s="7" t="inlineStr">
        <is>
          <t>Health systems report major time savings from AI documentation tools</t>
        </is>
      </c>
      <c r="F12" s="7" t="inlineStr">
        <is>
          <t>Intermountain Health cut time spent on visit notes by 27% using Microsoft's Dragon Copilot, while Cooper University Healthcare and Mercy reported clinicians saving over an hour of documentation time per shift using similar ambient AI scribe tools.</t>
        </is>
      </c>
      <c r="G12" s="6" t="inlineStr">
        <is>
          <t>Crescendo AI</t>
        </is>
      </c>
      <c r="H12" s="6" t="inlineStr">
        <is>
          <t>https://www.crescendo.ai/news/ai-in-healthcare-news</t>
        </is>
      </c>
      <c r="I12" s="6" t="inlineStr">
        <is>
          <t>2026-08-01</t>
        </is>
      </c>
    </row>
    <row r="13">
      <c r="A13" s="6" t="inlineStr">
        <is>
          <t>2026-08-11</t>
        </is>
      </c>
      <c r="B13" s="6" t="inlineStr">
        <is>
          <t>Insurtech</t>
        </is>
      </c>
      <c r="C13" s="6" t="inlineStr">
        <is>
          <t>Investments &amp; Funding</t>
        </is>
      </c>
      <c r="D13" s="6" t="inlineStr">
        <is>
          <t>Global</t>
        </is>
      </c>
      <c r="E13" s="7" t="inlineStr">
        <is>
          <t>Insurtech funding hits four-year high as AI captures 99% of capital</t>
        </is>
      </c>
      <c r="F13" s="7" t="inlineStr">
        <is>
          <t>Gallagher Re reported global insurtech funding reached $2.44 billion in Q2 2026, the highest quarterly total in four years, with AI-focused companies capturing 99.1% of all investment and mega-rounds over $100 million driving much of the increase.</t>
        </is>
      </c>
      <c r="G13" s="6" t="inlineStr">
        <is>
          <t>Reinsurance News</t>
        </is>
      </c>
      <c r="H13" s="6" t="inlineStr">
        <is>
          <t>https://www.reinsurancene.ws/insurtech-funding-hits-four-year-high-as-ai-firms-capture-99-of-investment-gallagher-re/</t>
        </is>
      </c>
      <c r="I13" s="6" t="inlineStr">
        <is>
          <t>2026-08-04</t>
        </is>
      </c>
    </row>
    <row r="14">
      <c r="A14" s="6" t="inlineStr">
        <is>
          <t>2026-08-11</t>
        </is>
      </c>
      <c r="B14" s="6" t="inlineStr">
        <is>
          <t>Insurtech</t>
        </is>
      </c>
      <c r="C14" s="6" t="inlineStr">
        <is>
          <t>People &amp; Leadership</t>
        </is>
      </c>
      <c r="D14" s="6" t="inlineStr">
        <is>
          <t>UK/Europe</t>
        </is>
      </c>
      <c r="E14" s="7" t="inlineStr">
        <is>
          <t>VisionTrack names Richard Lilwall CEO of AI telematics platform</t>
        </is>
      </c>
      <c r="F14" s="7" t="inlineStr">
        <is>
          <t>AI video telematics and connected fleet data specialist VisionTrack, part of Markerstudy Group, appointed Richard Lilwall as chief executive, succeeding Ben Pickard who returns to the CFO role.</t>
        </is>
      </c>
      <c r="G14" s="6" t="inlineStr">
        <is>
          <t>Fleet World</t>
        </is>
      </c>
      <c r="H14" s="6" t="inlineStr">
        <is>
          <t>https://fleetworld.co.uk/visiontrack-appoints-richard-lilwall-as-ceo/</t>
        </is>
      </c>
      <c r="I14" s="6" t="inlineStr">
        <is>
          <t>2026-08-10</t>
        </is>
      </c>
    </row>
    <row r="15">
      <c r="A15" s="6" t="inlineStr">
        <is>
          <t>2026-08-11</t>
        </is>
      </c>
      <c r="B15" s="6" t="inlineStr">
        <is>
          <t>Investments</t>
        </is>
      </c>
      <c r="C15" s="6" t="inlineStr">
        <is>
          <t>Market Economics</t>
        </is>
      </c>
      <c r="D15" s="6" t="inlineStr">
        <is>
          <t>Global</t>
        </is>
      </c>
      <c r="E15" s="7" t="inlineStr">
        <is>
          <t>PIMCO keeps pulling in outside money as Allianz boosts its stake</t>
        </is>
      </c>
      <c r="F15" s="7" t="inlineStr">
        <is>
          <t>PIMCO drew €31.7 billion in third-party net inflows in Q2 2026 with further gains in July, even as parent Allianz increased its ownership stake in the fixed-income manager.</t>
        </is>
      </c>
      <c r="G15" s="6" t="inlineStr">
        <is>
          <t>Bloomberg</t>
        </is>
      </c>
      <c r="H15" s="6" t="inlineStr">
        <is>
          <t>https://www.bloomberg.com/news/articles/2026-08-07/pimco-keeps-pulling-in-money-as-insurer-allianz-boosts-stake</t>
        </is>
      </c>
      <c r="I15" s="6" t="inlineStr">
        <is>
          <t>2026-08-07</t>
        </is>
      </c>
    </row>
    <row r="16">
      <c r="A16" s="6" t="inlineStr">
        <is>
          <t>2026-08-11</t>
        </is>
      </c>
      <c r="B16" s="6" t="inlineStr">
        <is>
          <t>Investments</t>
        </is>
      </c>
      <c r="C16" s="6" t="inlineStr">
        <is>
          <t>Market Economics</t>
        </is>
      </c>
      <c r="D16" s="6" t="inlineStr">
        <is>
          <t>UK/Europe</t>
        </is>
      </c>
      <c r="E16" s="7" t="inlineStr">
        <is>
          <t>AXA's first-half profit rises 2% as CEO refocuses on core insurance</t>
        </is>
      </c>
      <c r="F16" s="7" t="inlineStr">
        <is>
          <t>AXA reported underlying earnings up 2% to €4.5 billion for the first half of 2026, with CEO Thomas Buberl strengthening the core insurance business following the earlier €5.1 billion sale of its asset management arm.</t>
        </is>
      </c>
      <c r="G16" s="6" t="inlineStr">
        <is>
          <t>Insurance Journal</t>
        </is>
      </c>
      <c r="H16" s="6" t="inlineStr">
        <is>
          <t>https://www.insurancejournal.com/news/international/2026/07/31/879788.htm</t>
        </is>
      </c>
      <c r="I16" s="6" t="inlineStr">
        <is>
          <t>2026-07-31</t>
        </is>
      </c>
    </row>
    <row r="17">
      <c r="A17" s="6" t="inlineStr">
        <is>
          <t>2026-08-11</t>
        </is>
      </c>
      <c r="B17" s="6" t="inlineStr">
        <is>
          <t>Investments</t>
        </is>
      </c>
      <c r="C17" s="6" t="inlineStr">
        <is>
          <t>Market Economics</t>
        </is>
      </c>
      <c r="D17" s="6" t="inlineStr">
        <is>
          <t>United States</t>
        </is>
      </c>
      <c r="E17" s="7" t="inlineStr">
        <is>
          <t>Target-date fund assets climb to $4.8 trillion as CITs gain ground</t>
        </is>
      </c>
      <c r="F17" s="7" t="inlineStr">
        <is>
          <t>Morningstar's latest target-date fund landscape report shows total TDF assets rising to $4.8 trillion, up more than 20% year over year, with collective investment trusts continuing to take share from mutual fund structures inside 401(k) plans.</t>
        </is>
      </c>
      <c r="G17" s="6" t="inlineStr">
        <is>
          <t>401(k) Specialist</t>
        </is>
      </c>
      <c r="H17" s="6" t="inlineStr">
        <is>
          <t>https://401kspecialistmag.com/4-8-trillion-and-growing-why-traditional-tdfs-are-still-key-to-401k-success/</t>
        </is>
      </c>
      <c r="I17" s="6" t="inlineStr">
        <is>
          <t>2026-06-20</t>
        </is>
      </c>
    </row>
    <row r="18">
      <c r="A18" s="6" t="inlineStr">
        <is>
          <t>2026-08-11</t>
        </is>
      </c>
      <c r="B18" s="6" t="inlineStr">
        <is>
          <t>Life &amp; Annuities</t>
        </is>
      </c>
      <c r="C18" s="6" t="inlineStr">
        <is>
          <t>Market Economics</t>
        </is>
      </c>
      <c r="D18" s="6" t="inlineStr">
        <is>
          <t>United States</t>
        </is>
      </c>
      <c r="E18" s="7" t="inlineStr">
        <is>
          <t>LIMRA: U.S. annuity sales hit record $123.9 billion in second quarter</t>
        </is>
      </c>
      <c r="F18" s="7" t="inlineStr">
        <is>
          <t>LIMRA reported total U.S. annuity sales rose 4% year over year to a record $123.9 billion in Q2 2026, the 11th consecutive quarter above $100 billion, with in-plan annuities inside 401(k) and 403(b) plans cited as a growing driver.</t>
        </is>
      </c>
      <c r="G18" s="6" t="inlineStr">
        <is>
          <t>InsuranceNewsNet</t>
        </is>
      </c>
      <c r="H18" s="6" t="inlineStr">
        <is>
          <t>https://insurancenewsnet.com/innarticle/limra-annuity-sales-set-new-quarterly-record-with-123-9b-in-q2</t>
        </is>
      </c>
      <c r="I18" s="6" t="inlineStr">
        <is>
          <t>2026-08-05</t>
        </is>
      </c>
    </row>
    <row r="19">
      <c r="A19" s="6" t="inlineStr">
        <is>
          <t>2026-08-11</t>
        </is>
      </c>
      <c r="B19" s="6" t="inlineStr">
        <is>
          <t>Life &amp; Annuities</t>
        </is>
      </c>
      <c r="C19" s="6" t="inlineStr">
        <is>
          <t>Market Economics</t>
        </is>
      </c>
      <c r="D19" s="6" t="inlineStr">
        <is>
          <t>APAC</t>
        </is>
      </c>
      <c r="E19" s="7" t="inlineStr">
        <is>
          <t>Great Eastern's Singapore business outpaces Malaysia recovery in first half</t>
        </is>
      </c>
      <c r="F19" s="7" t="inlineStr">
        <is>
          <t>Great Eastern reported first-half 2026 weighted new sales up 15% year over year to S$813.2 million, led by strong Singapore agency growth, while its Malaysia unit posted more modest gains amid softer product demand.</t>
        </is>
      </c>
      <c r="G19" s="6" t="inlineStr">
        <is>
          <t>Insurance Business Asia</t>
        </is>
      </c>
      <c r="H19" s="6" t="inlineStr">
        <is>
          <t>https://www.insurancebusinessmag.com/asia/news/breaking-news/great-eastern-sees-singapore-growth-outpace-malaysia-recovery-584570.aspx</t>
        </is>
      </c>
      <c r="I19" s="6" t="inlineStr">
        <is>
          <t>2026-08-07</t>
        </is>
      </c>
    </row>
    <row r="20">
      <c r="A20" s="6" t="inlineStr">
        <is>
          <t>2026-08-11</t>
        </is>
      </c>
      <c r="B20" s="6" t="inlineStr">
        <is>
          <t>Property &amp; Casualty</t>
        </is>
      </c>
      <c r="C20" s="6" t="inlineStr">
        <is>
          <t>Market Economics</t>
        </is>
      </c>
      <c r="D20" s="6" t="inlineStr">
        <is>
          <t>UK/Europe</t>
        </is>
      </c>
      <c r="E20" s="7" t="inlineStr">
        <is>
          <t>Europe's wildfire insurance protection gap widens as losses mount</t>
        </is>
      </c>
      <c r="F20" s="7" t="inlineStr">
        <is>
          <t>Insurers including Zurich, Allianz and Munich Re are warning that Europe faces a growing wildfire protection gap as disaster-recovery costs outpace coverage, following blazes that destroyed over 300,000 acres across France, Spain and Greece this summer.</t>
        </is>
      </c>
      <c r="G20" s="6" t="inlineStr">
        <is>
          <t>CNBC</t>
        </is>
      </c>
      <c r="H20" s="6" t="inlineStr">
        <is>
          <t>https://www.cnbc.com/2026/08/07/wildfires-insurance-cover-zurich-allianz-munich.html</t>
        </is>
      </c>
      <c r="I20" s="6" t="inlineStr">
        <is>
          <t>2026-08-07</t>
        </is>
      </c>
    </row>
    <row r="21">
      <c r="A21" s="6" t="inlineStr">
        <is>
          <t>2026-08-11</t>
        </is>
      </c>
      <c r="B21" s="6" t="inlineStr">
        <is>
          <t>Property &amp; Casualty</t>
        </is>
      </c>
      <c r="C21" s="6" t="inlineStr">
        <is>
          <t>Technology &amp; AI</t>
        </is>
      </c>
      <c r="D21" s="6" t="inlineStr">
        <is>
          <t>Global</t>
        </is>
      </c>
      <c r="E21" s="7" t="inlineStr">
        <is>
          <t>Munich Re names AI, cyber and climate as top themes for reinsurers</t>
        </is>
      </c>
      <c r="F21" s="7" t="inlineStr">
        <is>
          <t>Munich Re and ERGO's 2026 Tech Trend Radar identified AI, cyber resilience, climate analytics and emerging liability as the defining strategic themes for reinsurers this year, with 63% of surveyed executives wanting cover against AI-related risks.</t>
        </is>
      </c>
      <c r="G21" s="6" t="inlineStr">
        <is>
          <t>Insurance Business</t>
        </is>
      </c>
      <c r="H21" s="6" t="inlineStr">
        <is>
          <t>https://www.insurancebusinessmag.com/reinsurance/news/breaking-news/munich-re-tech-radar-flags-ai-cyber-and-climate-as-top-strategic-themes-for-reinsurers-571977.aspx</t>
        </is>
      </c>
      <c r="I21" s="6" t="inlineStr">
        <is>
          <t>2026-07-24</t>
        </is>
      </c>
    </row>
    <row r="22">
      <c r="A22" s="6" t="inlineStr">
        <is>
          <t>2026-08-11</t>
        </is>
      </c>
      <c r="B22" s="6" t="inlineStr">
        <is>
          <t>Retirement</t>
        </is>
      </c>
      <c r="C22" s="6" t="inlineStr">
        <is>
          <t>Technology &amp; AI</t>
        </is>
      </c>
      <c r="D22" s="6" t="inlineStr">
        <is>
          <t>United States</t>
        </is>
      </c>
      <c r="E22" s="7" t="inlineStr">
        <is>
          <t>Human Interest rolls out AI-powered compliance guarantee for 401(k) plans</t>
        </is>
      </c>
      <c r="F22" s="7" t="inlineStr">
        <is>
          <t>Human Interest launched AI-driven technology that proactively checks payroll cycles and recordkeeping data against core compliance metrics, giving plan administrators real-time health indicators to flag issues before they become violations.</t>
        </is>
      </c>
      <c r="G22" s="6" t="inlineStr">
        <is>
          <t>401(k) Specialist</t>
        </is>
      </c>
      <c r="H22" s="6" t="inlineStr">
        <is>
          <t>https://401kspecialistmag.com/human-interest-launches-ai-powered-compliance-guarantee-for-401k-plans/</t>
        </is>
      </c>
      <c r="I22" s="6" t="inlineStr">
        <is>
          <t>2026-07-22</t>
        </is>
      </c>
    </row>
    <row r="23">
      <c r="A23" s="6" t="inlineStr">
        <is>
          <t>2026-08-11</t>
        </is>
      </c>
      <c r="B23" s="6" t="inlineStr">
        <is>
          <t>TPA</t>
        </is>
      </c>
      <c r="C23" s="6" t="inlineStr">
        <is>
          <t>Regulatory &amp; Policy</t>
        </is>
      </c>
      <c r="D23" s="6" t="inlineStr">
        <is>
          <t>United States</t>
        </is>
      </c>
      <c r="E23" s="7" t="inlineStr">
        <is>
          <t>Health Affairs proposes overhaul of employer TPA accountability rules</t>
        </is>
      </c>
      <c r="F23" s="7" t="inlineStr">
        <is>
          <t>A Health Affairs analysis argues Congress should give self-funded employers a more accountable and transparent option for administering medical benefit plans, citing the market power TPAs hold over the 165.6 million Americans in employer-sponsored coverage.</t>
        </is>
      </c>
      <c r="G23" s="6" t="inlineStr">
        <is>
          <t>Health Affairs (via RamaOnHealthcare)</t>
        </is>
      </c>
      <c r="H23" s="6" t="inlineStr">
        <is>
          <t>https://ramaonhealthcare.com/the-fair-pay-fair-play-tpa-a-proposal-to-disrupt-the-market-for-health-plan-administration/</t>
        </is>
      </c>
      <c r="I23" s="6" t="inlineStr">
        <is>
          <t>2026-08-07</t>
        </is>
      </c>
    </row>
    <row r="24">
      <c r="A24" s="6" t="inlineStr">
        <is>
          <t>2026-08-11</t>
        </is>
      </c>
      <c r="B24" s="6" t="inlineStr">
        <is>
          <t>TPA</t>
        </is>
      </c>
      <c r="C24" s="6" t="inlineStr">
        <is>
          <t>Market Economics</t>
        </is>
      </c>
      <c r="D24" s="6" t="inlineStr">
        <is>
          <t>United States</t>
        </is>
      </c>
      <c r="E24" s="7" t="inlineStr">
        <is>
          <t>Marpai's TPA and PBM platforms add 35,000 member lives in August</t>
        </is>
      </c>
      <c r="F24" s="7" t="inlineStr">
        <is>
          <t>Marpai said two major TPA clients representing roughly 35,000 member lives went live August 1, part of a projected 192,000-life expansion the company expects will push it to positive cash flow and EBITDA this quarter.</t>
        </is>
      </c>
      <c r="G24" s="6" t="inlineStr">
        <is>
          <t>PR Newswire</t>
        </is>
      </c>
      <c r="H24" s="6" t="inlineStr">
        <is>
          <t>https://www.prnewswire.com/news-releases/marpai-inc-announces-unprecedented-growth-with-192-000-new-estimated-member-lives-across-tpa-and-marpairx-pbm-platforms-expects-to-achieve-positive-cash-flow-and-ebitda-beginning-august-2026--302782220.html</t>
        </is>
      </c>
      <c r="I24" s="6" t="inlineStr">
        <is>
          <t>2026-08-01</t>
        </is>
      </c>
    </row>
    <row r="25">
      <c r="A25" s="6" t="inlineStr">
        <is>
          <t>2026-08-11</t>
        </is>
      </c>
      <c r="B25" s="6" t="inlineStr">
        <is>
          <t>Wealth Management</t>
        </is>
      </c>
      <c r="C25" s="6" t="inlineStr">
        <is>
          <t>M&amp;A</t>
        </is>
      </c>
      <c r="D25" s="6" t="inlineStr">
        <is>
          <t>United States</t>
        </is>
      </c>
      <c r="E25" s="7" t="inlineStr">
        <is>
          <t>Rockefeller adds $2.1 billion Merrill team in Columbus expansion</t>
        </is>
      </c>
      <c r="F25" s="7" t="inlineStr">
        <is>
          <t>Rockefeller Capital Management's Global Family Office recruited a multigenerational, multibillion-dollar advisory team led by Sidney Jones from Merrill, extending Rockefeller's wealth management footprint into a new Columbus, Ohio office.</t>
        </is>
      </c>
      <c r="G25" s="6" t="inlineStr">
        <is>
          <t>InvestmentNews</t>
        </is>
      </c>
      <c r="H25" s="6" t="inlineStr">
        <is>
          <t>https://www.investmentnews.com/ria-news/rockefeller-adds-21b-merrill-team-in-columbus-expansion/267737</t>
        </is>
      </c>
      <c r="I25" s="6" t="inlineStr">
        <is>
          <t>2026-08-06</t>
        </is>
      </c>
    </row>
    <row r="26">
      <c r="A26" s="6" t="inlineStr">
        <is>
          <t>2026-08-11</t>
        </is>
      </c>
      <c r="B26" s="6" t="inlineStr">
        <is>
          <t>Wealth Management</t>
        </is>
      </c>
      <c r="C26" s="6" t="inlineStr">
        <is>
          <t>Investments &amp; Funding</t>
        </is>
      </c>
      <c r="D26" s="6" t="inlineStr">
        <is>
          <t>United States</t>
        </is>
      </c>
      <c r="E26" s="7" t="inlineStr">
        <is>
          <t>US wealthtech funding halves year over year in second quarter</t>
        </is>
      </c>
      <c r="F26" s="7" t="inlineStr">
        <is>
          <t>US wealthtech companies raised $557.8 million across 91 deals in Q2 2026, down sharply from Q2 2025, as the number of mega-deals over $100 million dropped and investors grew more selective on AI-advisor platforms.</t>
        </is>
      </c>
      <c r="G26" s="6" t="inlineStr">
        <is>
          <t>FinTech Global</t>
        </is>
      </c>
      <c r="H26" s="6" t="inlineStr">
        <is>
          <t>https://fintech.global/2026/08/06/us-wealthtech-investment-halved-yoy-as-deals-over-100m-dropped-in-q2-2026/</t>
        </is>
      </c>
      <c r="I26" s="6" t="inlineStr">
        <is>
          <t>2026-08-06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2026-08-11T10:25:17Z</dcterms:created>
  <dcterms:modified xsi:type="dcterms:W3CDTF">2026-08-11T10:25:17Z</dcterms:modified>
</cp:coreProperties>
</file>