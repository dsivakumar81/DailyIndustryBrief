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aw Rows (Last 30 Day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3"/>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2"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34" customWidth="1" min="1" max="1"/>
    <col width="14" customWidth="1" min="2" max="2"/>
  </cols>
  <sheetData>
    <row r="1">
      <c r="A1" s="1" t="inlineStr">
        <is>
          <t>Industry Intelligence Cockpit — Last 30 Days Summary</t>
        </is>
      </c>
    </row>
    <row r="2">
      <c r="A2" t="inlineStr">
        <is>
          <t>Window: 2026-08-28 to 2026-09-27  ·  Generated: 2026-09-27  ·  Total stories: 478</t>
        </is>
      </c>
    </row>
    <row r="4">
      <c r="A4" s="2" t="inlineStr">
        <is>
          <t>Stories by Vertical</t>
        </is>
      </c>
    </row>
    <row r="5">
      <c r="A5" s="2" t="inlineStr">
        <is>
          <t>Vertical</t>
        </is>
      </c>
      <c r="B5" s="2" t="inlineStr">
        <is>
          <t>Story Count</t>
        </is>
      </c>
    </row>
    <row r="6">
      <c r="A6" t="inlineStr">
        <is>
          <t>Property &amp; Casualty</t>
        </is>
      </c>
      <c r="B6">
        <f>COUNTIFS('Raw Rows (Last 30 Days)'!$B$2:$B$479,A6)</f>
        <v/>
      </c>
    </row>
    <row r="7">
      <c r="A7" t="inlineStr">
        <is>
          <t>Wealth Management</t>
        </is>
      </c>
      <c r="B7">
        <f>COUNTIFS('Raw Rows (Last 30 Days)'!$B$2:$B$479,A7)</f>
        <v/>
      </c>
    </row>
    <row r="8">
      <c r="A8" t="inlineStr">
        <is>
          <t>Insurtech</t>
        </is>
      </c>
      <c r="B8">
        <f>COUNTIFS('Raw Rows (Last 30 Days)'!$B$2:$B$479,A8)</f>
        <v/>
      </c>
    </row>
    <row r="9">
      <c r="A9" t="inlineStr">
        <is>
          <t>Healthcare / Provider &amp; Clinical</t>
        </is>
      </c>
      <c r="B9">
        <f>COUNTIFS('Raw Rows (Last 30 Days)'!$B$2:$B$479,A9)</f>
        <v/>
      </c>
    </row>
    <row r="10">
      <c r="A10" t="inlineStr">
        <is>
          <t>Life &amp; Annuities</t>
        </is>
      </c>
      <c r="B10">
        <f>COUNTIFS('Raw Rows (Last 30 Days)'!$B$2:$B$479,A10)</f>
        <v/>
      </c>
    </row>
    <row r="11">
      <c r="A11" t="inlineStr">
        <is>
          <t>Brokers &amp; MGA/GA</t>
        </is>
      </c>
      <c r="B11">
        <f>COUNTIFS('Raw Rows (Last 30 Days)'!$B$2:$B$479,A11)</f>
        <v/>
      </c>
    </row>
    <row r="12">
      <c r="A12" t="inlineStr">
        <is>
          <t>Retirement</t>
        </is>
      </c>
      <c r="B12">
        <f>COUNTIFS('Raw Rows (Last 30 Days)'!$B$2:$B$479,A12)</f>
        <v/>
      </c>
    </row>
    <row r="13">
      <c r="A13" t="inlineStr">
        <is>
          <t>Health Insurance / Payer</t>
        </is>
      </c>
      <c r="B13">
        <f>COUNTIFS('Raw Rows (Last 30 Days)'!$B$2:$B$479,A13)</f>
        <v/>
      </c>
    </row>
    <row r="14">
      <c r="A14" t="inlineStr">
        <is>
          <t>Investments</t>
        </is>
      </c>
      <c r="B14">
        <f>COUNTIFS('Raw Rows (Last 30 Days)'!$B$2:$B$479,A14)</f>
        <v/>
      </c>
    </row>
    <row r="15">
      <c r="A15" t="inlineStr">
        <is>
          <t>FinTech</t>
        </is>
      </c>
      <c r="B15">
        <f>COUNTIFS('Raw Rows (Last 30 Days)'!$B$2:$B$479,A15)</f>
        <v/>
      </c>
    </row>
    <row r="16">
      <c r="A16" t="inlineStr">
        <is>
          <t>TPA</t>
        </is>
      </c>
      <c r="B16">
        <f>COUNTIFS('Raw Rows (Last 30 Days)'!$B$2:$B$479,A16)</f>
        <v/>
      </c>
    </row>
    <row r="17">
      <c r="A17" t="inlineStr">
        <is>
          <t>BrokerTech</t>
        </is>
      </c>
      <c r="B17">
        <f>COUNTIFS('Raw Rows (Last 30 Days)'!$B$2:$B$479,A17)</f>
        <v/>
      </c>
    </row>
    <row r="18">
      <c r="A18" s="2" t="inlineStr">
        <is>
          <t>Total</t>
        </is>
      </c>
      <c r="B18" s="2">
        <f>SUM(B6:B17)</f>
        <v/>
      </c>
    </row>
    <row r="21">
      <c r="A21" s="2" t="inlineStr">
        <is>
          <t>Stories by Lens</t>
        </is>
      </c>
    </row>
    <row r="22">
      <c r="A22" s="2" t="inlineStr">
        <is>
          <t>Lens</t>
        </is>
      </c>
      <c r="B22" s="2" t="inlineStr">
        <is>
          <t>Story Count</t>
        </is>
      </c>
    </row>
    <row r="23">
      <c r="A23" t="inlineStr">
        <is>
          <t>Market Economics</t>
        </is>
      </c>
      <c r="B23">
        <f>COUNTIFS('Raw Rows (Last 30 Days)'!$C$2:$C$479,A23)</f>
        <v/>
      </c>
    </row>
    <row r="24">
      <c r="A24" t="inlineStr">
        <is>
          <t>Technology &amp; AI</t>
        </is>
      </c>
      <c r="B24">
        <f>COUNTIFS('Raw Rows (Last 30 Days)'!$C$2:$C$479,A24)</f>
        <v/>
      </c>
    </row>
    <row r="25">
      <c r="A25" t="inlineStr">
        <is>
          <t>M&amp;A</t>
        </is>
      </c>
      <c r="B25">
        <f>COUNTIFS('Raw Rows (Last 30 Days)'!$C$2:$C$479,A25)</f>
        <v/>
      </c>
    </row>
    <row r="26">
      <c r="A26" t="inlineStr">
        <is>
          <t>Regulatory &amp; Policy</t>
        </is>
      </c>
      <c r="B26">
        <f>COUNTIFS('Raw Rows (Last 30 Days)'!$C$2:$C$479,A26)</f>
        <v/>
      </c>
    </row>
    <row r="27">
      <c r="A27" t="inlineStr">
        <is>
          <t>Investments &amp; Funding</t>
        </is>
      </c>
      <c r="B27">
        <f>COUNTIFS('Raw Rows (Last 30 Days)'!$C$2:$C$479,A27)</f>
        <v/>
      </c>
    </row>
    <row r="28">
      <c r="A28" t="inlineStr">
        <is>
          <t>People &amp; Leadership</t>
        </is>
      </c>
      <c r="B28">
        <f>COUNTIFS('Raw Rows (Last 30 Days)'!$C$2:$C$479,A28)</f>
        <v/>
      </c>
    </row>
    <row r="29">
      <c r="A29" s="2" t="inlineStr">
        <is>
          <t>Total</t>
        </is>
      </c>
      <c r="B29" s="2">
        <f>SUM(B23:B28)</f>
        <v/>
      </c>
    </row>
    <row r="32">
      <c r="A32" s="2" t="inlineStr">
        <is>
          <t>Stories by Week</t>
        </is>
      </c>
    </row>
    <row r="33">
      <c r="A33" s="2" t="inlineStr">
        <is>
          <t>Week Starting (Mon)</t>
        </is>
      </c>
      <c r="B33" s="2" t="inlineStr">
        <is>
          <t>Story Count</t>
        </is>
      </c>
    </row>
    <row r="34">
      <c r="A34" t="inlineStr">
        <is>
          <t>2026-08-24</t>
        </is>
      </c>
      <c r="B34">
        <f>COUNTIFS('Raw Rows (Last 30 Days)'!$A$2:$A$479,"&gt;="&amp;A34,'Raw Rows (Last 30 Days)'!$A$2:$A$479,"&lt;="&amp;(A34+6))</f>
        <v/>
      </c>
    </row>
    <row r="35">
      <c r="A35" t="inlineStr">
        <is>
          <t>2026-08-31</t>
        </is>
      </c>
      <c r="B35">
        <f>COUNTIFS('Raw Rows (Last 30 Days)'!$A$2:$A$479,"&gt;="&amp;A35,'Raw Rows (Last 30 Days)'!$A$2:$A$479,"&lt;="&amp;(A35+6))</f>
        <v/>
      </c>
    </row>
    <row r="36">
      <c r="A36" t="inlineStr">
        <is>
          <t>2026-09-07</t>
        </is>
      </c>
      <c r="B36">
        <f>COUNTIFS('Raw Rows (Last 30 Days)'!$A$2:$A$479,"&gt;="&amp;A36,'Raw Rows (Last 30 Days)'!$A$2:$A$479,"&lt;="&amp;(A36+6))</f>
        <v/>
      </c>
    </row>
    <row r="37">
      <c r="A37" t="inlineStr">
        <is>
          <t>2026-09-14</t>
        </is>
      </c>
      <c r="B37">
        <f>COUNTIFS('Raw Rows (Last 30 Days)'!$A$2:$A$479,"&gt;="&amp;A37,'Raw Rows (Last 30 Days)'!$A$2:$A$479,"&lt;="&amp;(A37+6))</f>
        <v/>
      </c>
    </row>
    <row r="38">
      <c r="A38" t="inlineStr">
        <is>
          <t>2026-09-21</t>
        </is>
      </c>
      <c r="B38">
        <f>COUNTIFS('Raw Rows (Last 30 Days)'!$A$2:$A$479,"&gt;="&amp;A38,'Raw Rows (Last 30 Days)'!$A$2:$A$479,"&lt;="&amp;(A38+6))</f>
        <v/>
      </c>
    </row>
    <row r="39">
      <c r="A39" s="2" t="inlineStr">
        <is>
          <t>Total</t>
        </is>
      </c>
      <c r="B39" s="2">
        <f>SUM(B34:B38)</f>
        <v/>
      </c>
    </row>
    <row r="42">
      <c r="A42" s="2" t="inlineStr">
        <is>
          <t>Stories by Geography</t>
        </is>
      </c>
    </row>
    <row r="43">
      <c r="A43" s="2" t="inlineStr">
        <is>
          <t>Geography</t>
        </is>
      </c>
      <c r="B43" s="2" t="inlineStr">
        <is>
          <t>Story Count</t>
        </is>
      </c>
    </row>
    <row r="44">
      <c r="A44" t="inlineStr">
        <is>
          <t>United States</t>
        </is>
      </c>
      <c r="B44">
        <f>COUNTIFS('Raw Rows (Last 30 Days)'!$D$2:$D$479,A44)</f>
        <v/>
      </c>
    </row>
    <row r="45">
      <c r="A45" t="inlineStr">
        <is>
          <t>Global</t>
        </is>
      </c>
      <c r="B45">
        <f>COUNTIFS('Raw Rows (Last 30 Days)'!$D$2:$D$479,A45)</f>
        <v/>
      </c>
    </row>
    <row r="46">
      <c r="A46" t="inlineStr">
        <is>
          <t>UK/Europe</t>
        </is>
      </c>
      <c r="B46">
        <f>COUNTIFS('Raw Rows (Last 30 Days)'!$D$2:$D$479,A46)</f>
        <v/>
      </c>
    </row>
    <row r="47">
      <c r="A47" t="inlineStr">
        <is>
          <t>APAC</t>
        </is>
      </c>
      <c r="B47">
        <f>COUNTIFS('Raw Rows (Last 30 Days)'!$D$2:$D$479,A47)</f>
        <v/>
      </c>
    </row>
    <row r="48">
      <c r="A48" t="inlineStr">
        <is>
          <t>India</t>
        </is>
      </c>
      <c r="B48">
        <f>COUNTIFS('Raw Rows (Last 30 Days)'!$D$2:$D$479,A48)</f>
        <v/>
      </c>
    </row>
    <row r="49">
      <c r="A49" t="inlineStr">
        <is>
          <t>United Kingdom</t>
        </is>
      </c>
      <c r="B49">
        <f>COUNTIFS('Raw Rows (Last 30 Days)'!$D$2:$D$479,A49)</f>
        <v/>
      </c>
    </row>
    <row r="50">
      <c r="A50" s="2" t="inlineStr">
        <is>
          <t>Total</t>
        </is>
      </c>
      <c r="B50" s="2">
        <f>SUM(B44:B49)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79"/>
  <sheetViews>
    <sheetView workbookViewId="0">
      <selection activeCell="A1" sqref="A1"/>
    </sheetView>
  </sheetViews>
  <sheetFormatPr baseColWidth="8" defaultRowHeight="15"/>
  <cols>
    <col width="12" customWidth="1" min="1" max="1"/>
    <col width="22" customWidth="1" min="2" max="2"/>
    <col width="20" customWidth="1" min="3" max="3"/>
    <col width="14" customWidth="1" min="4" max="4"/>
    <col width="55" customWidth="1" min="5" max="5"/>
    <col width="70" customWidth="1" min="6" max="6"/>
    <col width="22" customWidth="1" min="7" max="7"/>
    <col width="50" customWidth="1" min="8" max="8"/>
    <col width="12" customWidth="1" min="9" max="9"/>
  </cols>
  <sheetData>
    <row r="1">
      <c r="A1" s="2" t="inlineStr">
        <is>
          <t>date_added</t>
        </is>
      </c>
      <c r="B1" s="2" t="inlineStr">
        <is>
          <t>vertical</t>
        </is>
      </c>
      <c r="C1" s="2" t="inlineStr">
        <is>
          <t>lens</t>
        </is>
      </c>
      <c r="D1" s="2" t="inlineStr">
        <is>
          <t>geography</t>
        </is>
      </c>
      <c r="E1" s="2" t="inlineStr">
        <is>
          <t>headline</t>
        </is>
      </c>
      <c r="F1" s="2" t="inlineStr">
        <is>
          <t>summary</t>
        </is>
      </c>
      <c r="G1" s="2" t="inlineStr">
        <is>
          <t>source_name</t>
        </is>
      </c>
      <c r="H1" s="2" t="inlineStr">
        <is>
          <t>source_url</t>
        </is>
      </c>
      <c r="I1" s="2" t="inlineStr">
        <is>
          <t>story_date</t>
        </is>
      </c>
    </row>
    <row r="2">
      <c r="A2" t="inlineStr">
        <is>
          <t>2026-08-28</t>
        </is>
      </c>
      <c r="B2" t="inlineStr">
        <is>
          <t>Life &amp; Annuities</t>
        </is>
      </c>
      <c r="C2" t="inlineStr">
        <is>
          <t>Regulatory &amp; Policy</t>
        </is>
      </c>
      <c r="D2" t="inlineStr">
        <is>
          <t>UK/Europe</t>
        </is>
      </c>
      <c r="E2" t="inlineStr">
        <is>
          <t>UK's PRA finalizes post-implementation tweaks to Solvency UK reporting and own-funds rules</t>
        </is>
      </c>
      <c r="F2" t="inlineStr">
        <is>
          <t>The Prudential Regulation Authority published a policy statement (PS18/26) on July 29 amending reporting, disclosure and own-funds requirements under Solvency UK, with new liquidity reporting rules taking effect September 30, 2026.</t>
        </is>
      </c>
      <c r="G2" t="inlineStr">
        <is>
          <t>National Law Review</t>
        </is>
      </c>
      <c r="H2" t="inlineStr">
        <is>
          <t>https://natlawreview.com/article/finreg-monthly-update-august-2026</t>
        </is>
      </c>
      <c r="I2" t="inlineStr">
        <is>
          <t>2026-07-29</t>
        </is>
      </c>
    </row>
    <row r="3">
      <c r="A3" t="inlineStr">
        <is>
          <t>2026-08-28</t>
        </is>
      </c>
      <c r="B3" t="inlineStr">
        <is>
          <t>Wealth Management</t>
        </is>
      </c>
      <c r="C3" t="inlineStr">
        <is>
          <t>Technology &amp; AI</t>
        </is>
      </c>
      <c r="D3" t="inlineStr">
        <is>
          <t>United States</t>
        </is>
      </c>
      <c r="E3" t="inlineStr">
        <is>
          <t>AI advisor tools keep multiplying as Kitces tracks a wave of August product launches</t>
        </is>
      </c>
      <c r="F3" t="inlineStr">
        <is>
          <t>Kitces' August AdvisorTech roundup highlights a new Zeplyn integration with Schwab Advisor Center, Feathery's $30 million raise for workflow automation, and fresh Series A rounds for AI-powered compliance startups Hadrius and Greenboard.</t>
        </is>
      </c>
      <c r="G3" t="inlineStr">
        <is>
          <t>Kitces.com</t>
        </is>
      </c>
      <c r="H3" t="inlineStr">
        <is>
          <t>https://www.kitces.com/blog/the-latest-in-financial-advisortech-august-2026-ycharts-zephyr-hadrius-greenboard-feathery/</t>
        </is>
      </c>
      <c r="I3" t="inlineStr">
        <is>
          <t>2026-08-03</t>
        </is>
      </c>
    </row>
    <row r="4">
      <c r="A4" t="inlineStr">
        <is>
          <t>2026-08-28</t>
        </is>
      </c>
      <c r="B4" t="inlineStr">
        <is>
          <t>Insurtech</t>
        </is>
      </c>
      <c r="C4" t="inlineStr">
        <is>
          <t>M&amp;A</t>
        </is>
      </c>
      <c r="D4" t="inlineStr">
        <is>
          <t>UK/Europe</t>
        </is>
      </c>
      <c r="E4" t="inlineStr">
        <is>
          <t>Keylane acquires UK claims-tech specialist 360Globalnet to bolster its P&amp;C offering</t>
        </is>
      </c>
      <c r="F4" t="inlineStr">
        <is>
          <t>Dutch insurance software provider Keylane bought 360Globalnet, adding its no-code SiteView digital claims platform to help insurers automate claims workflows and digital site visits across Europe, APAC and North America.</t>
        </is>
      </c>
      <c r="G4" t="inlineStr">
        <is>
          <t>Keylane</t>
        </is>
      </c>
      <c r="H4" t="inlineStr">
        <is>
          <t>https://keylane.com/keylane-strengthens-digital-claims-offering-with-360globalnet-acquisition/</t>
        </is>
      </c>
      <c r="I4" t="inlineStr">
        <is>
          <t>2026-08-05</t>
        </is>
      </c>
    </row>
    <row r="5">
      <c r="A5" t="inlineStr">
        <is>
          <t>2026-08-28</t>
        </is>
      </c>
      <c r="B5" t="inlineStr">
        <is>
          <t>Investments</t>
        </is>
      </c>
      <c r="C5" t="inlineStr">
        <is>
          <t>Technology &amp; AI</t>
        </is>
      </c>
      <c r="D5" t="inlineStr">
        <is>
          <t>United States</t>
        </is>
      </c>
      <c r="E5" t="inlineStr">
        <is>
          <t>Fidelity to add a guaranteed-income sleeve to its Freedom target-date fund lineup</t>
        </is>
      </c>
      <c r="F5" t="inlineStr">
        <is>
          <t>Fidelity is expanding its Freedom Lifetime series with an insurance-backed guaranteed income option supported by Nationwide and New York Life, blending active and index funds ahead of an early-2027 rollout.</t>
        </is>
      </c>
      <c r="G5" t="inlineStr">
        <is>
          <t>401(k) Specialist</t>
        </is>
      </c>
      <c r="H5" t="inlineStr">
        <is>
          <t>https://401kspecialistmag.com/fidelity-expanding-tdf-lineup-with-addition-of-guaranteed-income-solution-by-early-2027/</t>
        </is>
      </c>
      <c r="I5" t="inlineStr">
        <is>
          <t>2026-08-07</t>
        </is>
      </c>
    </row>
    <row r="6">
      <c r="A6" t="inlineStr">
        <is>
          <t>2026-08-28</t>
        </is>
      </c>
      <c r="B6" t="inlineStr">
        <is>
          <t>Life &amp; Annuities</t>
        </is>
      </c>
      <c r="C6" t="inlineStr">
        <is>
          <t>Technology &amp; AI</t>
        </is>
      </c>
      <c r="D6" t="inlineStr">
        <is>
          <t>United States</t>
        </is>
      </c>
      <c r="E6" t="inlineStr">
        <is>
          <t>1891 Financial Life rolls out a new digital annuity application built with iCover and Solvrays</t>
        </is>
      </c>
      <c r="F6" t="inlineStr">
        <is>
          <t>The insurer launched an eApp designed to simplify and speed up annuity application and submission for agents and clients, part of a broader digital modernization push across the life and annuity sector.</t>
        </is>
      </c>
      <c r="G6" t="inlineStr">
        <is>
          <t>InsurTech Express</t>
        </is>
      </c>
      <c r="H6" t="inlineStr">
        <is>
          <t>https://www.insurtechexpress.com/itx-newsletter-august-2026-edition-2/</t>
        </is>
      </c>
      <c r="I6" t="inlineStr">
        <is>
          <t>2026-08-08</t>
        </is>
      </c>
    </row>
    <row r="7">
      <c r="A7" t="inlineStr">
        <is>
          <t>2026-08-28</t>
        </is>
      </c>
      <c r="B7" t="inlineStr">
        <is>
          <t>Brokers &amp; MGA/GA</t>
        </is>
      </c>
      <c r="C7" t="inlineStr">
        <is>
          <t>M&amp;A</t>
        </is>
      </c>
      <c r="D7" t="inlineStr">
        <is>
          <t>United States</t>
        </is>
      </c>
      <c r="E7" t="inlineStr">
        <is>
          <t>Marsh McLennan Agency to acquire century-old Iowa broker Accel Group</t>
        </is>
      </c>
      <c r="F7" t="inlineStr">
        <is>
          <t>MMA agreed to buy The Accel Group, a Waverly, Iowa-based independent agency with seven Midwest offices and roughly 130 employees, adding its agribusiness, retirement and wealth-advisory capabilities to MMA's platform.</t>
        </is>
      </c>
      <c r="G7" t="inlineStr">
        <is>
          <t>Insurance Journal</t>
        </is>
      </c>
      <c r="H7" t="inlineStr">
        <is>
          <t>https://www.insurancejournal.com/news/midwest/2026/08/11/881082.htm</t>
        </is>
      </c>
      <c r="I7" t="inlineStr">
        <is>
          <t>2026-08-11</t>
        </is>
      </c>
    </row>
    <row r="8">
      <c r="A8" t="inlineStr">
        <is>
          <t>2026-08-28</t>
        </is>
      </c>
      <c r="B8" t="inlineStr">
        <is>
          <t>Wealth Management</t>
        </is>
      </c>
      <c r="C8" t="inlineStr">
        <is>
          <t>M&amp;A</t>
        </is>
      </c>
      <c r="D8" t="inlineStr">
        <is>
          <t>United States</t>
        </is>
      </c>
      <c r="E8" t="inlineStr">
        <is>
          <t>Wealth Enhancement adds $210 million Oklahoma RIA Servo Wealth Management</t>
        </is>
      </c>
      <c r="F8" t="inlineStr">
        <is>
          <t>The Minneapolis-based consolidator closed its acquisition of Servo Wealth Management on August 15, 2026, reuniting the Oklahoma City team with former colleagues already at the firm and pushing its total client assets further past $160 billion.</t>
        </is>
      </c>
      <c r="G8" t="inlineStr">
        <is>
          <t>PR Newswire</t>
        </is>
      </c>
      <c r="H8" t="inlineStr">
        <is>
          <t>https://www.prnewswire.com/news-releases/wealth-enhancement-announces-acquisition-of-servo-wealth-management-an-independent-ria-with-over-210-million-in-client-assets-302855693.html</t>
        </is>
      </c>
      <c r="I8" t="inlineStr">
        <is>
          <t>2026-08-15</t>
        </is>
      </c>
    </row>
    <row r="9">
      <c r="A9" t="inlineStr">
        <is>
          <t>2026-08-28</t>
        </is>
      </c>
      <c r="B9" t="inlineStr">
        <is>
          <t>Property &amp; Casualty</t>
        </is>
      </c>
      <c r="C9" t="inlineStr">
        <is>
          <t>Market Economics</t>
        </is>
      </c>
      <c r="D9" t="inlineStr">
        <is>
          <t>Global</t>
        </is>
      </c>
      <c r="E9" t="inlineStr">
        <is>
          <t>Global P&amp;C reinsurers enter H2 2026 well capitalized but facing softer pricing</t>
        </is>
      </c>
      <c r="F9" t="inlineStr">
        <is>
          <t>Morningstar DBRS says record reinsurance capital chasing only modest demand growth is pushing property catastrophe rates lower, with further softening likely into 2027 absent a major loss event.</t>
        </is>
      </c>
      <c r="G9" t="inlineStr">
        <is>
          <t>Reinsurance News</t>
        </is>
      </c>
      <c r="H9" t="inlineStr">
        <is>
          <t>https://www.reinsurancene.ws/global-pc-reinsurers-head-into-h226-with-strong-capital-but-softer-pricing-morningstar-dbrs/</t>
        </is>
      </c>
      <c r="I9" t="inlineStr">
        <is>
          <t>2026-08-18</t>
        </is>
      </c>
    </row>
    <row r="10">
      <c r="A10" t="inlineStr">
        <is>
          <t>2026-08-28</t>
        </is>
      </c>
      <c r="B10" t="inlineStr">
        <is>
          <t>Healthcare / Provider &amp; Clinical</t>
        </is>
      </c>
      <c r="C10" t="inlineStr">
        <is>
          <t>Technology &amp; AI</t>
        </is>
      </c>
      <c r="D10" t="inlineStr">
        <is>
          <t>United States</t>
        </is>
      </c>
      <c r="E10" t="inlineStr">
        <is>
          <t>Oracle Health expands its Clinical AI Agent with automated coding, dictation and chart review</t>
        </is>
      </c>
      <c r="F10" t="inlineStr">
        <is>
          <t>The new capabilities let clinicians dictate directly into documentation, auto-suggest professional-fee billing codes from visit conversations, and surface longitudinal patient context for pre-visit prep, building on an agent that has already saved physicians over 400,000 hours.</t>
        </is>
      </c>
      <c r="G10" t="inlineStr">
        <is>
          <t>Oracle</t>
        </is>
      </c>
      <c r="H10" t="inlineStr">
        <is>
          <t>https://www.oracle.com/news/announcement/oracle-health-expands-clinical-ai-agent-with-coding-dictation-chart-review-2026-08-19/</t>
        </is>
      </c>
      <c r="I10" t="inlineStr">
        <is>
          <t>2026-08-19</t>
        </is>
      </c>
    </row>
    <row r="11">
      <c r="A11" t="inlineStr">
        <is>
          <t>2026-08-28</t>
        </is>
      </c>
      <c r="B11" t="inlineStr">
        <is>
          <t>Property &amp; Casualty</t>
        </is>
      </c>
      <c r="C11" t="inlineStr">
        <is>
          <t>Market Economics</t>
        </is>
      </c>
      <c r="D11" t="inlineStr">
        <is>
          <t>United States</t>
        </is>
      </c>
      <c r="E11" t="inlineStr">
        <is>
          <t>Commercial P&amp;C pricing keeps softening as premium cuts accelerate in Q2</t>
        </is>
      </c>
      <c r="F11" t="inlineStr">
        <is>
          <t>The Council's latest survey found average commercial premiums fell 2.0% in Q2 2026, led by large-account discounts, even as umbrella and commercial auto lines kept posting increases amid continued nuclear-verdict pressure.</t>
        </is>
      </c>
      <c r="G11" t="inlineStr">
        <is>
          <t>Reinsurance News</t>
        </is>
      </c>
      <c r="H11" t="inlineStr">
        <is>
          <t>https://www.reinsurancene.ws/pc-market-softens-further-as-premium-decreases-accelerate-in-q226-the-council/</t>
        </is>
      </c>
      <c r="I11" t="inlineStr">
        <is>
          <t>2026-08-20</t>
        </is>
      </c>
    </row>
    <row r="12">
      <c r="A12" t="inlineStr">
        <is>
          <t>2026-08-28</t>
        </is>
      </c>
      <c r="B12" t="inlineStr">
        <is>
          <t>Investments</t>
        </is>
      </c>
      <c r="C12" t="inlineStr">
        <is>
          <t>Market Economics</t>
        </is>
      </c>
      <c r="D12" t="inlineStr">
        <is>
          <t>UK/Europe</t>
        </is>
      </c>
      <c r="E12" t="inlineStr">
        <is>
          <t>M&amp;G pushes deeper into bulk annuities, targeting £3-4 billion in annual sales by 2027</t>
        </is>
      </c>
      <c r="F12" t="inlineStr">
        <is>
          <t>M&amp;G shares held steady as the insurer leans further into the bulk purchase annuity market, with analysts pointing to an improving sales and fee-income trajectory heading into 2027.</t>
        </is>
      </c>
      <c r="G12" t="inlineStr">
        <is>
          <t>ad-hoc-news.de</t>
        </is>
      </c>
      <c r="H12" t="inlineStr">
        <is>
          <t>https://www.ad-hoc-news.de/boerse/news/corporate-news/m-and-g-stock-holds-its-ground-as-annuity-growth-targets-support-the/70004080</t>
        </is>
      </c>
      <c r="I12" t="inlineStr">
        <is>
          <t>2026-08-25</t>
        </is>
      </c>
    </row>
    <row r="13">
      <c r="A13" t="inlineStr">
        <is>
          <t>2026-08-28</t>
        </is>
      </c>
      <c r="B13" t="inlineStr">
        <is>
          <t>Property &amp; Casualty</t>
        </is>
      </c>
      <c r="C13" t="inlineStr">
        <is>
          <t>Market Economics</t>
        </is>
      </c>
      <c r="D13" t="inlineStr">
        <is>
          <t>APAC</t>
        </is>
      </c>
      <c r="E13" t="inlineStr">
        <is>
          <t>Asia-Pacific reinsurers reverse revenue decline with 4% growth</t>
        </is>
      </c>
      <c r="F13" t="inlineStr">
        <is>
          <t>Asia-Pacific reinsurers recorded a 4% year-on-year increase in net insurance service revenue in 2025, reversing the prior year's decline as regional demand and pricing stabilized.</t>
        </is>
      </c>
      <c r="G13" t="inlineStr">
        <is>
          <t>Business Insurance</t>
        </is>
      </c>
      <c r="H13" t="inlineStr">
        <is>
          <t>https://www.businessinsurance.com/asia-pacific-reinsurers-reverse-revenue-decline/</t>
        </is>
      </c>
      <c r="I13" t="inlineStr">
        <is>
          <t>2026-08-25</t>
        </is>
      </c>
    </row>
    <row r="14">
      <c r="A14" t="inlineStr">
        <is>
          <t>2026-08-28</t>
        </is>
      </c>
      <c r="B14" t="inlineStr">
        <is>
          <t>Retirement</t>
        </is>
      </c>
      <c r="C14" t="inlineStr">
        <is>
          <t>Investments &amp; Funding</t>
        </is>
      </c>
      <c r="D14" t="inlineStr">
        <is>
          <t>United States</t>
        </is>
      </c>
      <c r="E14" t="inlineStr">
        <is>
          <t>Principal expands 401(k) access to private-market strategies</t>
        </is>
      </c>
      <c r="F14" t="inlineStr">
        <is>
          <t>Principal broadened its Featured Partner Programme to let AllianceBernstein, Apollo, Ares, Blackstone, KKR and other alternative managers offer private-market exposure inside CIT-based target-date and target-risk funds on its recordkeeping platform.</t>
        </is>
      </c>
      <c r="G14" t="inlineStr">
        <is>
          <t>Alternative Credit Investor</t>
        </is>
      </c>
      <c r="H14" t="inlineStr">
        <is>
          <t>https://alternativecreditinvestor.com/2026/08/26/principal-opens-401k-plans-to-private-markets/</t>
        </is>
      </c>
      <c r="I14" t="inlineStr">
        <is>
          <t>2026-08-26</t>
        </is>
      </c>
    </row>
    <row r="15">
      <c r="A15" t="inlineStr">
        <is>
          <t>2026-08-29</t>
        </is>
      </c>
      <c r="B15" t="inlineStr">
        <is>
          <t>Property &amp; Casualty</t>
        </is>
      </c>
      <c r="C15" t="inlineStr">
        <is>
          <t>Regulatory &amp; Policy</t>
        </is>
      </c>
      <c r="D15" t="inlineStr">
        <is>
          <t>UK/Europe</t>
        </is>
      </c>
      <c r="E15" t="inlineStr">
        <is>
          <t>UK PRA finalizes Solvency UK reporting and disclosure overhaul</t>
        </is>
      </c>
      <c r="F15" t="inlineStr">
        <is>
          <t>The Bank of England's Prudential Regulation Authority published PS18/26, finalizing amendments to Solvency UK reporting and disclosure rules, including moving a key matching-adjustment return to XBRL format, with insurers required to comply for reporting dates from December 31, 2026.</t>
        </is>
      </c>
      <c r="G15" t="inlineStr">
        <is>
          <t>Bank of England (PRA)</t>
        </is>
      </c>
      <c r="H15" t="inlineStr">
        <is>
          <t>https://www.bankofengland.co.uk/prudential-regulation/publication/2026/july/solvency-uk-policy-statement</t>
        </is>
      </c>
      <c r="I15" t="inlineStr">
        <is>
          <t>2026-07-29</t>
        </is>
      </c>
    </row>
    <row r="16">
      <c r="A16" t="inlineStr">
        <is>
          <t>2026-08-29</t>
        </is>
      </c>
      <c r="B16" t="inlineStr">
        <is>
          <t>Life &amp; Annuities</t>
        </is>
      </c>
      <c r="C16" t="inlineStr">
        <is>
          <t>Market Economics</t>
        </is>
      </c>
      <c r="D16" t="inlineStr">
        <is>
          <t>United States</t>
        </is>
      </c>
      <c r="E16" t="inlineStr">
        <is>
          <t>MassMutual Ascend surpasses $2 billion in lifetime advisory annuity sales</t>
        </is>
      </c>
      <c r="F16" t="inlineStr">
        <is>
          <t>MassMutual Ascend said its advisory annuity sales have crossed $2 billion, built on relationships with more than 1,700 investment advisor representatives across nearly 1,000 RIAs, with roughly $900 million of that total coming in 2025 and 2026 alone.</t>
        </is>
      </c>
      <c r="G16" t="inlineStr">
        <is>
          <t>BusinessWire</t>
        </is>
      </c>
      <c r="H16" t="inlineStr">
        <is>
          <t>https://www.businesswire.com/news/home/20260811401752/en/MassMutual-Ascend-Surpasses-%242-Billion-in-Lifetime-Advisory-Annuity-Sales-Reflecting-Continued-Momentum-in-RIA-Channel</t>
        </is>
      </c>
      <c r="I16" t="inlineStr">
        <is>
          <t>2026-08-11</t>
        </is>
      </c>
    </row>
    <row r="17">
      <c r="A17" t="inlineStr">
        <is>
          <t>2026-08-29</t>
        </is>
      </c>
      <c r="B17" t="inlineStr">
        <is>
          <t>Wealth Management</t>
        </is>
      </c>
      <c r="C17" t="inlineStr">
        <is>
          <t>Technology &amp; AI</t>
        </is>
      </c>
      <c r="D17" t="inlineStr">
        <is>
          <t>United States</t>
        </is>
      </c>
      <c r="E17" t="inlineStr">
        <is>
          <t>Feathery launches AI proposal generator built for wealth management firms</t>
        </is>
      </c>
      <c r="F17" t="inlineStr">
        <is>
          <t>Wealthtech firm Feathery launched an AI-powered proposal generation tool, built around its assistant Robin, that pulls client data from Salesforce, eMoney, Holistiplan, Addepar and Morningstar to draft personalized, compliance-ready proposals for advisors.</t>
        </is>
      </c>
      <c r="G17" t="inlineStr">
        <is>
          <t>InvestmentNews</t>
        </is>
      </c>
      <c r="H17" t="inlineStr">
        <is>
          <t>https://www.investmentnews.com/transformation/feathery-launches-ai-proposal-generation-tool-for-wealth-management-firms/267764</t>
        </is>
      </c>
      <c r="I17" t="inlineStr">
        <is>
          <t>2026-08-11</t>
        </is>
      </c>
    </row>
    <row r="18">
      <c r="A18" t="inlineStr">
        <is>
          <t>2026-08-29</t>
        </is>
      </c>
      <c r="B18" t="inlineStr">
        <is>
          <t>Property &amp; Casualty</t>
        </is>
      </c>
      <c r="C18" t="inlineStr">
        <is>
          <t>Investments &amp; Funding</t>
        </is>
      </c>
      <c r="D18" t="inlineStr">
        <is>
          <t>Global</t>
        </is>
      </c>
      <c r="E18" t="inlineStr">
        <is>
          <t>Chubb pursues insurance market's first annual aggregate cyber catastrophe bond</t>
        </is>
      </c>
      <c r="F18" t="inlineStr">
        <is>
          <t>Chubb is seeking annual aggregate cyber reinsurance protection through a new East Lane Re VII catastrophe bond, which would become the first aggregate cyber cat bond in the market's history as capital markets take on more cyber-loss risk.</t>
        </is>
      </c>
      <c r="G18" t="inlineStr">
        <is>
          <t>Artemis.bm</t>
        </is>
      </c>
      <c r="H18" t="inlineStr">
        <is>
          <t>https://www.artemis.bm/news/chubb-opts-to-pursue-first-ever-annual-aggregate-cyber-catastrophe-bond/</t>
        </is>
      </c>
      <c r="I18" t="inlineStr">
        <is>
          <t>2026-08-14</t>
        </is>
      </c>
    </row>
    <row r="19">
      <c r="A19" t="inlineStr">
        <is>
          <t>2026-08-29</t>
        </is>
      </c>
      <c r="B19" t="inlineStr">
        <is>
          <t>Retirement</t>
        </is>
      </c>
      <c r="C19" t="inlineStr">
        <is>
          <t>M&amp;A</t>
        </is>
      </c>
      <c r="D19" t="inlineStr">
        <is>
          <t>United States</t>
        </is>
      </c>
      <c r="E19" t="inlineStr">
        <is>
          <t>Epic Retirement Solutions acquires recordkeeper Retirement Direct</t>
        </is>
      </c>
      <c r="F19" t="inlineStr">
        <is>
          <t>Retirement plan services firm Epic Retirement Solutions acquired recordkeeping provider Retirement Direct, adding to a wave of consolidation among smaller defined-contribution recordkeepers as fee pressure pushes the industry toward scale.</t>
        </is>
      </c>
      <c r="G19" t="inlineStr">
        <is>
          <t>PLANADVISER</t>
        </is>
      </c>
      <c r="H19" t="inlineStr">
        <is>
          <t>https://www.planadviser.com/epic-snags-recordkeeper-retirement-direct/</t>
        </is>
      </c>
      <c r="I19" t="inlineStr">
        <is>
          <t>2026-08-18</t>
        </is>
      </c>
    </row>
    <row r="20">
      <c r="A20" t="inlineStr">
        <is>
          <t>2026-08-29</t>
        </is>
      </c>
      <c r="B20" t="inlineStr">
        <is>
          <t>Wealth Management</t>
        </is>
      </c>
      <c r="C20" t="inlineStr">
        <is>
          <t>M&amp;A</t>
        </is>
      </c>
      <c r="D20" t="inlineStr">
        <is>
          <t>United States</t>
        </is>
      </c>
      <c r="E20" t="inlineStr">
        <is>
          <t>Wealth Enhancement extends acquisition streak with $644 million Washington state RIA</t>
        </is>
      </c>
      <c r="F20" t="inlineStr">
        <is>
          <t>Wealth Enhancement acquired Olympia, Washington-based Weinand Financial, an independent RIA with about $644 million in client assets, pushing the consolidator's total client assets past $160.7 billion.</t>
        </is>
      </c>
      <c r="G20" t="inlineStr">
        <is>
          <t>InvestmentNews</t>
        </is>
      </c>
      <c r="H20" t="inlineStr">
        <is>
          <t>https://www.investmentnews.com/ria-news/wealth-enhancement-extends-acquisition-streak-with-washington-state-deal/267856</t>
        </is>
      </c>
      <c r="I20" t="inlineStr">
        <is>
          <t>2026-08-18</t>
        </is>
      </c>
    </row>
    <row r="21">
      <c r="A21" t="inlineStr">
        <is>
          <t>2026-08-29</t>
        </is>
      </c>
      <c r="B21" t="inlineStr">
        <is>
          <t>Retirement</t>
        </is>
      </c>
      <c r="C21" t="inlineStr">
        <is>
          <t>Technology &amp; AI</t>
        </is>
      </c>
      <c r="D21" t="inlineStr">
        <is>
          <t>United States</t>
        </is>
      </c>
      <c r="E21" t="inlineStr">
        <is>
          <t>Vanguard readies first new target-date series since 2003 with built-in TIAA annuity</t>
        </is>
      </c>
      <c r="F21" t="inlineStr">
        <is>
          <t>Vanguard is rolling out Target Retirement Lifetime Income Trusts that begin allocating to the TIAA Secure Income Account at age 55, reaching about 25% of the portfolio by 65, giving 401(k) participants an optional guaranteed-income sleeve within the same glide path as its flagship funds.</t>
        </is>
      </c>
      <c r="G21" t="inlineStr">
        <is>
          <t>InvestmentNews</t>
        </is>
      </c>
      <c r="H21" t="inlineStr">
        <is>
          <t>https://www.investmentnews.com/retirement-planning/vanguard-adds-tiaa-backed-annuity-option-to-flagship-target-date-lineup/263381</t>
        </is>
      </c>
      <c r="I21" t="inlineStr">
        <is>
          <t>2026-08-20</t>
        </is>
      </c>
    </row>
    <row r="22">
      <c r="A22" t="inlineStr">
        <is>
          <t>2026-08-29</t>
        </is>
      </c>
      <c r="B22" t="inlineStr">
        <is>
          <t>TPA</t>
        </is>
      </c>
      <c r="C22" t="inlineStr">
        <is>
          <t>Market Economics</t>
        </is>
      </c>
      <c r="D22" t="inlineStr">
        <is>
          <t>United States</t>
        </is>
      </c>
      <c r="E22" t="inlineStr">
        <is>
          <t>Rising costs push employers to lean harder on broker-TPA partnerships</t>
        </is>
      </c>
      <c r="F22" t="inlineStr">
        <is>
          <t>Employee Benefit News reports that rising healthcare costs and limited internal HR capacity are driving employers to demand stronger broker-TPA partnerships capable of executing complex cost-containment strategies, as TPAs take on expanded analytics and compliance roles.</t>
        </is>
      </c>
      <c r="G22" t="inlineStr">
        <is>
          <t>Employee Benefit News</t>
        </is>
      </c>
      <c r="H22" t="inlineStr">
        <is>
          <t>https://www.benefitnews.com/news/forging-stronger-broker-tpa-partnerships</t>
        </is>
      </c>
      <c r="I22" t="inlineStr">
        <is>
          <t>2026-08-25</t>
        </is>
      </c>
    </row>
    <row r="23">
      <c r="A23" t="inlineStr">
        <is>
          <t>2026-08-29</t>
        </is>
      </c>
      <c r="B23" t="inlineStr">
        <is>
          <t>Wealth Management</t>
        </is>
      </c>
      <c r="C23" t="inlineStr">
        <is>
          <t>People &amp; Leadership</t>
        </is>
      </c>
      <c r="D23" t="inlineStr">
        <is>
          <t>United States</t>
        </is>
      </c>
      <c r="E23" t="inlineStr">
        <is>
          <t>RIA channel keeps pulling senior talent from banking and asset management</t>
        </is>
      </c>
      <c r="F23" t="inlineStr">
        <is>
          <t>Three wealth management firms announced senior hires spanning investment banking, alternative investment distribution and sports and entertainment wealth management, including Guggenheim Securities naming Blake Jones a senior managing director focused on M&amp;A involving RIAs and broker-dealers.</t>
        </is>
      </c>
      <c r="G23" t="inlineStr">
        <is>
          <t>InvestmentNews</t>
        </is>
      </c>
      <c r="H23" t="inlineStr">
        <is>
          <t>https://www.investmentnews.com/ria-news/people-moves-ria-channel-draws-senior-talent-across-wealth-management-ecosystem/267823</t>
        </is>
      </c>
      <c r="I23" t="inlineStr">
        <is>
          <t>2026-08-25</t>
        </is>
      </c>
    </row>
    <row r="24">
      <c r="A24" t="inlineStr">
        <is>
          <t>2026-08-29</t>
        </is>
      </c>
      <c r="B24" t="inlineStr">
        <is>
          <t>Property &amp; Casualty</t>
        </is>
      </c>
      <c r="C24" t="inlineStr">
        <is>
          <t>Market Economics</t>
        </is>
      </c>
      <c r="D24" t="inlineStr">
        <is>
          <t>United States</t>
        </is>
      </c>
      <c r="E24" t="inlineStr">
        <is>
          <t>State Farm begins distributing promised $5 billion in policyholder dividends</t>
        </is>
      </c>
      <c r="F24" t="inlineStr">
        <is>
          <t>State Farm started distributing $5 billion in previously announced dividends to eligible policyholders, part of the mutual insurer's broader capital-return efforts detailed in PropertyCasualty360's industry roundup.</t>
        </is>
      </c>
      <c r="G24" t="inlineStr">
        <is>
          <t>PropertyCasualty360</t>
        </is>
      </c>
      <c r="H24" t="inlineStr">
        <is>
          <t>https://www.propertycasualty360.com/2026/08/26/around-the-pc-insurance-industry-august-26-2026/</t>
        </is>
      </c>
      <c r="I24" t="inlineStr">
        <is>
          <t>2026-08-26</t>
        </is>
      </c>
    </row>
    <row r="25">
      <c r="A25" t="inlineStr">
        <is>
          <t>2026-08-30</t>
        </is>
      </c>
      <c r="B25" t="inlineStr">
        <is>
          <t>Investments</t>
        </is>
      </c>
      <c r="C25" t="inlineStr">
        <is>
          <t>Market Economics</t>
        </is>
      </c>
      <c r="D25" t="inlineStr">
        <is>
          <t>United States</t>
        </is>
      </c>
      <c r="E25" t="inlineStr">
        <is>
          <t>WisdomTree posts sixth straight quarter of record AUM at $162.9 billion</t>
        </is>
      </c>
      <c r="F25" t="inlineStr">
        <is>
          <t>WisdomTree's assets under management hit a record $162.9 billion in the second quarter, driven by the Atlantic House acquisition, market appreciation and $3.1 billion of net inflows, marking its sixth consecutive record quarter.</t>
        </is>
      </c>
      <c r="G25" t="inlineStr">
        <is>
          <t>Pulse2.com</t>
        </is>
      </c>
      <c r="H25" t="inlineStr">
        <is>
          <t>https://pulse2.com/wisdomtree-aum-reaches-record-162-9-billion-as-net-inflows-total-3-1-billion/</t>
        </is>
      </c>
      <c r="I25" t="inlineStr">
        <is>
          <t>2026-07-25</t>
        </is>
      </c>
    </row>
    <row r="26">
      <c r="A26" t="inlineStr">
        <is>
          <t>2026-08-30</t>
        </is>
      </c>
      <c r="B26" t="inlineStr">
        <is>
          <t>Health Insurance / Payer</t>
        </is>
      </c>
      <c r="C26" t="inlineStr">
        <is>
          <t>Regulatory &amp; Policy</t>
        </is>
      </c>
      <c r="D26" t="inlineStr">
        <is>
          <t>United States</t>
        </is>
      </c>
      <c r="E26" t="inlineStr">
        <is>
          <t>CMS backs off proposed Medicare Advantage payment cut, raising 2027 rates nearly 5%</t>
        </is>
      </c>
      <c r="F26" t="inlineStr">
        <is>
          <t>CMS finalized Medicare Advantage payment rates for 2027 well above its initial proposal, delivering private insurers close to a 5% average per-enrollee increase after industry pushback on planned cuts.</t>
        </is>
      </c>
      <c r="G26" t="inlineStr">
        <is>
          <t>KFF</t>
        </is>
      </c>
      <c r="H26" t="inlineStr">
        <is>
          <t>https://www.kff.org/quick-take/medicare-advantage-insurers-will-see-higher-payments-as-cms-backs-off-a-key-payment-update/</t>
        </is>
      </c>
      <c r="I26" t="inlineStr">
        <is>
          <t>2026-08-01</t>
        </is>
      </c>
    </row>
    <row r="27">
      <c r="A27" t="inlineStr">
        <is>
          <t>2026-08-30</t>
        </is>
      </c>
      <c r="B27" t="inlineStr">
        <is>
          <t>Insurtech</t>
        </is>
      </c>
      <c r="C27" t="inlineStr">
        <is>
          <t>Investments &amp; Funding</t>
        </is>
      </c>
      <c r="D27" t="inlineStr">
        <is>
          <t>APAC</t>
        </is>
      </c>
      <c r="E27" t="inlineStr">
        <is>
          <t>Tokio Marine takes minority stake in Singapore insurtech Igloo</t>
        </is>
      </c>
      <c r="F27" t="inlineStr">
        <is>
          <t>Tokio Marine invested about $5 million for a 1.65% equity stake in Igloo, a full-stack insurtech operating across eight Southeast Asian markets, extending the Japanese carrier's push deeper into the region's digital insurance space.</t>
        </is>
      </c>
      <c r="G27" t="inlineStr">
        <is>
          <t>Insurance Business Asia</t>
        </is>
      </c>
      <c r="H27" t="inlineStr">
        <is>
          <t>https://www.insurancebusinessmag.com/asia/news/technology/tokio-marine-buys-minority-stake-in-singapore-insurtech-igloo-563467.aspx</t>
        </is>
      </c>
      <c r="I27" t="inlineStr">
        <is>
          <t>2026-08-05</t>
        </is>
      </c>
    </row>
    <row r="28">
      <c r="A28" t="inlineStr">
        <is>
          <t>2026-08-30</t>
        </is>
      </c>
      <c r="B28" t="inlineStr">
        <is>
          <t>Health Insurance / Payer</t>
        </is>
      </c>
      <c r="C28" t="inlineStr">
        <is>
          <t>Market Economics</t>
        </is>
      </c>
      <c r="D28" t="inlineStr">
        <is>
          <t>United States</t>
        </is>
      </c>
      <c r="E28" t="inlineStr">
        <is>
          <t>Insurer exits keep thinning Medicare Advantage options for enrollees</t>
        </is>
      </c>
      <c r="F28" t="inlineStr">
        <is>
          <t>Becker's Payer Issues tracks a continuing pattern of Medicare Advantage insurer exits and pullbacks in 2026, with a JAMA study finding roughly 10% of MA enrollees had to disenroll and find new coverage after their plans left the market.</t>
        </is>
      </c>
      <c r="G28" t="inlineStr">
        <is>
          <t>Becker's Payer Issues</t>
        </is>
      </c>
      <c r="H28" t="inlineStr">
        <is>
          <t>https://www.beckerspayer.com/payer/medicare-advantage/5-insurers-stepping-back-from-medicare-advantage/</t>
        </is>
      </c>
      <c r="I28" t="inlineStr">
        <is>
          <t>2026-08-10</t>
        </is>
      </c>
    </row>
    <row r="29">
      <c r="A29" t="inlineStr">
        <is>
          <t>2026-08-30</t>
        </is>
      </c>
      <c r="B29" t="inlineStr">
        <is>
          <t>Wealth Management</t>
        </is>
      </c>
      <c r="C29" t="inlineStr">
        <is>
          <t>Technology &amp; AI</t>
        </is>
      </c>
      <c r="D29" t="inlineStr">
        <is>
          <t>United States</t>
        </is>
      </c>
      <c r="E29" t="inlineStr">
        <is>
          <t>MissionSquare pushes beyond retirement plans into personal wealth management</t>
        </is>
      </c>
      <c r="F29" t="inlineStr">
        <is>
          <t>MissionSquare, long focused on public-sector retirement plans, launched a personal wealth management business and rebranded its broker-dealer subsidiary as MissionSquare Wealth Management, naming Shannon Hogendorn as president.</t>
        </is>
      </c>
      <c r="G29" t="inlineStr">
        <is>
          <t>FinTech Global</t>
        </is>
      </c>
      <c r="H29" t="inlineStr">
        <is>
          <t>https://fintech.global/2026/08/11/missionsquare-expands-into-personal-wealth-management/</t>
        </is>
      </c>
      <c r="I29" t="inlineStr">
        <is>
          <t>2026-08-11</t>
        </is>
      </c>
    </row>
    <row r="30">
      <c r="A30" t="inlineStr">
        <is>
          <t>2026-08-30</t>
        </is>
      </c>
      <c r="B30" t="inlineStr">
        <is>
          <t>Healthcare / Provider &amp; Clinical</t>
        </is>
      </c>
      <c r="C30" t="inlineStr">
        <is>
          <t>Technology &amp; AI</t>
        </is>
      </c>
      <c r="D30" t="inlineStr">
        <is>
          <t>United States</t>
        </is>
      </c>
      <c r="E30" t="inlineStr">
        <is>
          <t>Exer AI expands Mayo Clinic partnership to widen clinical AI tool deployment</t>
        </is>
      </c>
      <c r="F30" t="inlineStr">
        <is>
          <t>Exer AI broadened its partnership with Mayo Clinic to further integrate its AI-powered movement-assessment technology into orthopaedic clinical workflows.</t>
        </is>
      </c>
      <c r="G30" t="inlineStr">
        <is>
          <t>Digital Health News</t>
        </is>
      </c>
      <c r="H30" t="inlineStr">
        <is>
          <t>https://www.digitalhealthnews.com/exer-ai-expands-mayo-clinic-partnership-to-advance-clinical-ai-tool-deployment</t>
        </is>
      </c>
      <c r="I30" t="inlineStr">
        <is>
          <t>2026-08-15</t>
        </is>
      </c>
    </row>
    <row r="31">
      <c r="A31" t="inlineStr">
        <is>
          <t>2026-08-30</t>
        </is>
      </c>
      <c r="B31" t="inlineStr">
        <is>
          <t>TPA</t>
        </is>
      </c>
      <c r="C31" t="inlineStr">
        <is>
          <t>Technology &amp; AI</t>
        </is>
      </c>
      <c r="D31" t="inlineStr">
        <is>
          <t>United States</t>
        </is>
      </c>
      <c r="E31" t="inlineStr">
        <is>
          <t>TPAs push beyond claims handling into prevention and AI-powered risk management</t>
        </is>
      </c>
      <c r="F31" t="inlineStr">
        <is>
          <t>Gallagher Bassett argues third-party administrators are shifting from reactive claims processing toward proactive risk prevention, pre-loss consulting and AI-driven claims tools as carriers face rising claim severity and complexity.</t>
        </is>
      </c>
      <c r="G31" t="inlineStr">
        <is>
          <t>Gallagher Bassett</t>
        </is>
      </c>
      <c r="H31" t="inlineStr">
        <is>
          <t>https://insurers.gallagherbassett.com/media/beyond-claims-tpas-push-into-prevention-protection-and-ai-powered-risk-management/</t>
        </is>
      </c>
      <c r="I31" t="inlineStr">
        <is>
          <t>2026-08-15</t>
        </is>
      </c>
    </row>
    <row r="32">
      <c r="A32" t="inlineStr">
        <is>
          <t>2026-08-30</t>
        </is>
      </c>
      <c r="B32" t="inlineStr">
        <is>
          <t>Property &amp; Casualty</t>
        </is>
      </c>
      <c r="C32" t="inlineStr">
        <is>
          <t>Market Economics</t>
        </is>
      </c>
      <c r="D32" t="inlineStr">
        <is>
          <t>United States</t>
        </is>
      </c>
      <c r="E32" t="inlineStr">
        <is>
          <t>State Farm raises Illinois home insurance rates 27% on rising claims costs</t>
        </is>
      </c>
      <c r="F32" t="inlineStr">
        <is>
          <t>State Farm is raising home insurance rates by an average of 27% for Illinois customers, saying it paid out $1.26 in total costs for every $1 collected in premium in 2024, even as the insurer separately lowers Illinois auto rates.</t>
        </is>
      </c>
      <c r="G32" t="inlineStr">
        <is>
          <t>CBS News Chicago</t>
        </is>
      </c>
      <c r="H32" t="inlineStr">
        <is>
          <t>https://www.cbsnews.com/chicago/news/state-farm-illinois-home-insurance-rate-hike-august</t>
        </is>
      </c>
      <c r="I32" t="inlineStr">
        <is>
          <t>2026-08-20</t>
        </is>
      </c>
    </row>
    <row r="33">
      <c r="A33" t="inlineStr">
        <is>
          <t>2026-08-30</t>
        </is>
      </c>
      <c r="B33" t="inlineStr">
        <is>
          <t>Wealth Management</t>
        </is>
      </c>
      <c r="C33" t="inlineStr">
        <is>
          <t>M&amp;A</t>
        </is>
      </c>
      <c r="D33" t="inlineStr">
        <is>
          <t>United States</t>
        </is>
      </c>
      <c r="E33" t="inlineStr">
        <is>
          <t>Apollon and Merit extend RIA buying spree with two more acquisitions</t>
        </is>
      </c>
      <c r="F33" t="inlineStr">
        <is>
          <t>Apollon Wealth Management added a roughly $650 million RIA while Merit Financial Advisors picked up a $470 million advisory firm, the latest moves in an accelerating wave of RIA consolidation.</t>
        </is>
      </c>
      <c r="G33" t="inlineStr">
        <is>
          <t>WealthManagement.com</t>
        </is>
      </c>
      <c r="H33" t="inlineStr">
        <is>
          <t>https://www.wealthmanagement.com/ria-news/deals-moves-apollon-adds-650m-ria-merit-snags-470m-advisory</t>
        </is>
      </c>
      <c r="I33" t="inlineStr">
        <is>
          <t>2026-08-20</t>
        </is>
      </c>
    </row>
    <row r="34">
      <c r="A34" t="inlineStr">
        <is>
          <t>2026-08-30</t>
        </is>
      </c>
      <c r="B34" t="inlineStr">
        <is>
          <t>Insurtech</t>
        </is>
      </c>
      <c r="C34" t="inlineStr">
        <is>
          <t>Technology &amp; AI</t>
        </is>
      </c>
      <c r="D34" t="inlineStr">
        <is>
          <t>United States</t>
        </is>
      </c>
      <c r="E34" t="inlineStr">
        <is>
          <t>Carpe launches Minerva Reasoning Engine to help small commercial insurers underwrite profitably</t>
        </is>
      </c>
      <c r="F34" t="inlineStr">
        <is>
          <t>AI-native data specialist Carpe introduced its Minerva Reasoning Engine, an underwriting tool aimed specifically at helping small commercial insurers price risk more profitably.</t>
        </is>
      </c>
      <c r="G34" t="inlineStr">
        <is>
          <t>FinTech Global</t>
        </is>
      </c>
      <c r="H34" t="inlineStr">
        <is>
          <t>https://fintech.global/2026/08/24/carpe-launches-ai-underwriting-tool-for-insurers/</t>
        </is>
      </c>
      <c r="I34" t="inlineStr">
        <is>
          <t>2026-08-24</t>
        </is>
      </c>
    </row>
    <row r="35">
      <c r="A35" t="inlineStr">
        <is>
          <t>2026-08-31</t>
        </is>
      </c>
      <c r="B35" t="inlineStr">
        <is>
          <t>Investments</t>
        </is>
      </c>
      <c r="C35" t="inlineStr">
        <is>
          <t>Market Economics</t>
        </is>
      </c>
      <c r="D35" t="inlineStr">
        <is>
          <t>Global</t>
        </is>
      </c>
      <c r="E35" t="inlineStr">
        <is>
          <t>Global reinsurance capital hits record $790 billion as catastrophe bond issuance sets first-half record</t>
        </is>
      </c>
      <c r="F35" t="inlineStr">
        <is>
          <t>Guy Carpenter data show reinsurer capacity and abundant risk appetite pushed cat bond issuance to an all-time first-half high of $17.3 billion, while property catastrophe rates fell the most since the late 1990s at mid-year renewals.</t>
        </is>
      </c>
      <c r="G35" t="inlineStr">
        <is>
          <t>Guy Carpenter</t>
        </is>
      </c>
      <c r="H35" t="inlineStr">
        <is>
          <t>https://www.guycarp.com/insights/2026/07/July-1-renewals-catastrophe-bonds.html</t>
        </is>
      </c>
      <c r="I35" t="inlineStr">
        <is>
          <t>2026-07-01</t>
        </is>
      </c>
    </row>
    <row r="36">
      <c r="A36" t="inlineStr">
        <is>
          <t>2026-08-31</t>
        </is>
      </c>
      <c r="B36" t="inlineStr">
        <is>
          <t>Healthcare / Provider &amp; Clinical</t>
        </is>
      </c>
      <c r="C36" t="inlineStr">
        <is>
          <t>Regulatory &amp; Policy</t>
        </is>
      </c>
      <c r="D36" t="inlineStr">
        <is>
          <t>United States</t>
        </is>
      </c>
      <c r="E36" t="inlineStr">
        <is>
          <t>CMS finalizes FY2027 hospital payment rule with 2.3% rate increase</t>
        </is>
      </c>
      <c r="F36" t="inlineStr">
        <is>
          <t>The final inpatient prospective payment system rule raises Medicare hospital payments by about $2.1 billion in fiscal 2027 for facilities meeting quality-reporting and EHR requirements, while trimming disproportionate-share hospital payments by $200 million.</t>
        </is>
      </c>
      <c r="G36" t="inlineStr">
        <is>
          <t>CMS</t>
        </is>
      </c>
      <c r="H36" t="inlineStr">
        <is>
          <t>https://www.cms.gov/newsroom/fact-sheets/fy-2027-hospital-inpatient-prospective-payment-system-long-term-care-hospital-prospective-payment</t>
        </is>
      </c>
      <c r="I36" t="inlineStr">
        <is>
          <t>2026-07-31</t>
        </is>
      </c>
    </row>
    <row r="37">
      <c r="A37" t="inlineStr">
        <is>
          <t>2026-08-31</t>
        </is>
      </c>
      <c r="B37" t="inlineStr">
        <is>
          <t>Wealth Management</t>
        </is>
      </c>
      <c r="C37" t="inlineStr">
        <is>
          <t>M&amp;A</t>
        </is>
      </c>
      <c r="D37" t="inlineStr">
        <is>
          <t>United States</t>
        </is>
      </c>
      <c r="E37" t="inlineStr">
        <is>
          <t>Savvy adds Blue Barn Wealth and Paragon Private Wealth, crossing $8 billion in AUM</t>
        </is>
      </c>
      <c r="F37" t="inlineStr">
        <is>
          <t>The two independent firms bring roughly $550 million in combined assets to Savvy's network, part of a run that has brought in over $4 billion in recruited assets in 2026 and quadrupled the platform's total AUM year over year.</t>
        </is>
      </c>
      <c r="G37" t="inlineStr">
        <is>
          <t>Business Wire</t>
        </is>
      </c>
      <c r="H37" t="inlineStr">
        <is>
          <t>https://www.businesswire.com/news/home/20260805737022/en/Blue-Barn-Wealth-and-Paragon-Private-Wealth-Partner-with-Savvy-Adding-%24550M-in-Combined-AUM</t>
        </is>
      </c>
      <c r="I37" t="inlineStr">
        <is>
          <t>2026-08-05</t>
        </is>
      </c>
    </row>
    <row r="38">
      <c r="A38" t="inlineStr">
        <is>
          <t>2026-08-31</t>
        </is>
      </c>
      <c r="B38" t="inlineStr">
        <is>
          <t>Brokers &amp; MGA/GA</t>
        </is>
      </c>
      <c r="C38" t="inlineStr">
        <is>
          <t>Regulatory &amp; Policy</t>
        </is>
      </c>
      <c r="D38" t="inlineStr">
        <is>
          <t>APAC</t>
        </is>
      </c>
      <c r="E38" t="inlineStr">
        <is>
          <t>Hong Kong curbs first-year insurance commissions amid soaring mainland demand</t>
        </is>
      </c>
      <c r="F38" t="inlineStr">
        <is>
          <t>The city's insurance authority tightened first-year commission structures for its more than 800 licensed broker companies as mainland Chinese buyers continue to drive a surge in long-term policy sales.</t>
        </is>
      </c>
      <c r="G38" t="inlineStr">
        <is>
          <t>Asia Insurance Review</t>
        </is>
      </c>
      <c r="H38" t="inlineStr">
        <is>
          <t>https://www.asiainsurancereview.com/News/View-NewsLetter-Article/id/92507/Type/eCin/Hong-Kong-curbs-first-year-insurance-commissions-amid-soaring-mainland-demand</t>
        </is>
      </c>
      <c r="I38" t="inlineStr">
        <is>
          <t>2026-08-10</t>
        </is>
      </c>
    </row>
    <row r="39">
      <c r="A39" t="inlineStr">
        <is>
          <t>2026-08-31</t>
        </is>
      </c>
      <c r="B39" t="inlineStr">
        <is>
          <t>Healthcare / Provider &amp; Clinical</t>
        </is>
      </c>
      <c r="C39" t="inlineStr">
        <is>
          <t>M&amp;A</t>
        </is>
      </c>
      <c r="D39" t="inlineStr">
        <is>
          <t>United States</t>
        </is>
      </c>
      <c r="E39" t="inlineStr">
        <is>
          <t>York Hospital-MaineHealth merger clears state approval, set to close October 1</t>
        </is>
      </c>
      <c r="F39" t="inlineStr">
        <is>
          <t>Maine regulators approved the merger after York Hospital said it could no longer operate independently amid rising labor and supply costs, with conditions barring service cuts in southern York County for three years without state notice.</t>
        </is>
      </c>
      <c r="G39" t="inlineStr">
        <is>
          <t>Press Herald</t>
        </is>
      </c>
      <c r="H39" t="inlineStr">
        <is>
          <t>https://www.pressherald.com/2026/08/10/york-hospital-mainehealth-merger-advances-after-state-approval/</t>
        </is>
      </c>
      <c r="I39" t="inlineStr">
        <is>
          <t>2026-08-10</t>
        </is>
      </c>
    </row>
    <row r="40">
      <c r="A40" t="inlineStr">
        <is>
          <t>2026-08-31</t>
        </is>
      </c>
      <c r="B40" t="inlineStr">
        <is>
          <t>Property &amp; Casualty</t>
        </is>
      </c>
      <c r="C40" t="inlineStr">
        <is>
          <t>People &amp; Leadership</t>
        </is>
      </c>
      <c r="D40" t="inlineStr">
        <is>
          <t>UK/Europe</t>
        </is>
      </c>
      <c r="E40" t="inlineStr">
        <is>
          <t>EIOPA elects Bank of Greece supervisor Stavros Konstantas to its Management Board</t>
        </is>
      </c>
      <c r="F40" t="inlineStr">
        <is>
          <t>Konstantas, director of occupational and private insurance supervision at the Bank of Greece, begins a two-and-a-half-year term on the EU insurance and pensions regulator's board, succeeding Ante Zigman after his move to lead Croatia's central bank.</t>
        </is>
      </c>
      <c r="G40" t="inlineStr">
        <is>
          <t>The European Times</t>
        </is>
      </c>
      <c r="H40" t="inlineStr">
        <is>
          <t>https://europeantimes.news/2026/08/eiopa-elects-stavros-konstantas-of-the-bank-of-greece-to-its-management-board/</t>
        </is>
      </c>
      <c r="I40" t="inlineStr">
        <is>
          <t>2026-08-13</t>
        </is>
      </c>
    </row>
    <row r="41">
      <c r="A41" t="inlineStr">
        <is>
          <t>2026-08-31</t>
        </is>
      </c>
      <c r="B41" t="inlineStr">
        <is>
          <t>FinTech</t>
        </is>
      </c>
      <c r="C41" t="inlineStr">
        <is>
          <t>Technology &amp; AI</t>
        </is>
      </c>
      <c r="D41" t="inlineStr">
        <is>
          <t>APAC</t>
        </is>
      </c>
      <c r="E41" t="inlineStr">
        <is>
          <t>Hong Kong's new crypto rules could open an $82 billion insurance opportunity</t>
        </is>
      </c>
      <c r="F41" t="inlineStr">
        <is>
          <t>New digital-asset regulation in Hong Kong is creating a potential market for insurers to cover crypto custody, exchange and institutional-holding risk, as the territory positions itself as a digital-asset hub.</t>
        </is>
      </c>
      <c r="G41" t="inlineStr">
        <is>
          <t>Yahoo Finance</t>
        </is>
      </c>
      <c r="H41" t="inlineStr">
        <is>
          <t>https://finance.yahoo.com/news/hong-kong-crypto-rules-could-064100762.html</t>
        </is>
      </c>
      <c r="I41" t="inlineStr">
        <is>
          <t>2026-08-14</t>
        </is>
      </c>
    </row>
    <row r="42">
      <c r="A42" t="inlineStr">
        <is>
          <t>2026-08-31</t>
        </is>
      </c>
      <c r="B42" t="inlineStr">
        <is>
          <t>Retirement</t>
        </is>
      </c>
      <c r="C42" t="inlineStr">
        <is>
          <t>Market Economics</t>
        </is>
      </c>
      <c r="D42" t="inlineStr">
        <is>
          <t>United States</t>
        </is>
      </c>
      <c r="E42" t="inlineStr">
        <is>
          <t>Retirement income council calls decumulation the next frontier for defined-contribution plans</t>
        </is>
      </c>
      <c r="F42" t="inlineStr">
        <is>
          <t>The Institutional Retirement Income Council outlined five moves plan sponsors should make now to help participants convert savings into retirement income, as the industry's attention shifts from asset accumulation to drawdown.</t>
        </is>
      </c>
      <c r="G42" t="inlineStr">
        <is>
          <t>Pensions &amp; Investments</t>
        </is>
      </c>
      <c r="H42" t="inlineStr">
        <is>
          <t>https://www.pionline.com/institutional-investors/pi-institutional-retirement-council-income-august-2026/</t>
        </is>
      </c>
      <c r="I42" t="inlineStr">
        <is>
          <t>2026-08-15</t>
        </is>
      </c>
    </row>
    <row r="43">
      <c r="A43" t="inlineStr">
        <is>
          <t>2026-08-31</t>
        </is>
      </c>
      <c r="B43" t="inlineStr">
        <is>
          <t>Life &amp; Annuities</t>
        </is>
      </c>
      <c r="C43" t="inlineStr">
        <is>
          <t>M&amp;A</t>
        </is>
      </c>
      <c r="D43" t="inlineStr">
        <is>
          <t>United States</t>
        </is>
      </c>
      <c r="E43" t="inlineStr">
        <is>
          <t>Corebridge Financial and Equitable Holdings name leadership team as $22 billion merger advances</t>
        </is>
      </c>
      <c r="F43" t="inlineStr">
        <is>
          <t>The two insurers announced the executive team that will run the combined retirement, life, wealth and asset management company after shareholders of both firms approved the all-stock deal in late July.</t>
        </is>
      </c>
      <c r="G43" t="inlineStr">
        <is>
          <t>Corebridge Financial</t>
        </is>
      </c>
      <c r="H43" t="inlineStr">
        <is>
          <t>https://investors.corebridgefinancial.com/news/news-details/2026/Corebridge-Financial-and-Equitable-Holdings-Announce-Leadership-Team-for-Combined-Company/default.aspx</t>
        </is>
      </c>
      <c r="I43" t="inlineStr">
        <is>
          <t>2026-08-17</t>
        </is>
      </c>
    </row>
    <row r="44">
      <c r="A44" t="inlineStr">
        <is>
          <t>2026-08-31</t>
        </is>
      </c>
      <c r="B44" t="inlineStr">
        <is>
          <t>Wealth Management</t>
        </is>
      </c>
      <c r="C44" t="inlineStr">
        <is>
          <t>M&amp;A</t>
        </is>
      </c>
      <c r="D44" t="inlineStr">
        <is>
          <t>United States</t>
        </is>
      </c>
      <c r="E44" t="inlineStr">
        <is>
          <t>MAI Capital enters Atlanta market with $490 million Waypoint Wealth Counsel acquisition</t>
        </is>
      </c>
      <c r="F44" t="inlineStr">
        <is>
          <t>The Cleveland-based RIA, backed by a recent Carlyle investment, added the fee-only Atlanta firm and its more than 100 households, giving Waypoint's founders access to MAI's family-office platform, lending and alternative-investment sourcing.</t>
        </is>
      </c>
      <c r="G44" t="inlineStr">
        <is>
          <t>Business Wire</t>
        </is>
      </c>
      <c r="H44" t="inlineStr">
        <is>
          <t>https://www.businesswire.com/news/home/20260817051116/en/MAI-Capital-Management-Expands-Into-Atlanta-Market-Through-Acquisition-of-Waypoint-Wealth-Counsel</t>
        </is>
      </c>
      <c r="I44" t="inlineStr">
        <is>
          <t>2026-08-17</t>
        </is>
      </c>
    </row>
    <row r="45">
      <c r="A45" t="inlineStr">
        <is>
          <t>2026-08-31</t>
        </is>
      </c>
      <c r="B45" t="inlineStr">
        <is>
          <t>Investments</t>
        </is>
      </c>
      <c r="C45" t="inlineStr">
        <is>
          <t>M&amp;A</t>
        </is>
      </c>
      <c r="D45" t="inlineStr">
        <is>
          <t>Global</t>
        </is>
      </c>
      <c r="E45" t="inlineStr">
        <is>
          <t>Thoma Bravo to take specialty insurer Accelerant private in $4 billion-plus deal</t>
        </is>
      </c>
      <c r="F45" t="inlineStr">
        <is>
          <t>The software-focused investment firm agreed to buy the Accelerant Risk Exchange platform for $20.25 a share in cash, a 49% premium, with Accelerant's largest investor and founders keeping equity alongside Thoma Bravo.</t>
        </is>
      </c>
      <c r="G45" t="inlineStr">
        <is>
          <t>Reinsurance News</t>
        </is>
      </c>
      <c r="H45" t="inlineStr">
        <is>
          <t>https://www.reinsurancene.ws/accelerant-heads-back-to-private-ownership-with-thoma-bravo-acquisition/</t>
        </is>
      </c>
      <c r="I45" t="inlineStr">
        <is>
          <t>2026-08-18</t>
        </is>
      </c>
    </row>
    <row r="46">
      <c r="A46" t="inlineStr">
        <is>
          <t>2026-08-31</t>
        </is>
      </c>
      <c r="B46" t="inlineStr">
        <is>
          <t>Property &amp; Casualty</t>
        </is>
      </c>
      <c r="C46" t="inlineStr">
        <is>
          <t>Market Economics</t>
        </is>
      </c>
      <c r="D46" t="inlineStr">
        <is>
          <t>United States</t>
        </is>
      </c>
      <c r="E46" t="inlineStr">
        <is>
          <t>Wawanesa Insurance rebrands as W Insurance in its California personal-lines business</t>
        </is>
      </c>
      <c r="F46" t="inlineStr">
        <is>
          <t>The San Diego-based carrier, acquired by the Automobile Club of Southern California's affiliated insurer in 2024, shortened its name for its roughly 300,000 auto, home, condo and renters policies, with no change to coverage, claims or servicing.</t>
        </is>
      </c>
      <c r="G46" t="inlineStr">
        <is>
          <t>Coverager</t>
        </is>
      </c>
      <c r="H46" t="inlineStr">
        <is>
          <t>https://coverager.com/wawanesa-insurance-rebrands-as-w-insurance/</t>
        </is>
      </c>
      <c r="I46" t="inlineStr">
        <is>
          <t>2026-08-18</t>
        </is>
      </c>
    </row>
    <row r="47">
      <c r="A47" t="inlineStr">
        <is>
          <t>2026-08-31</t>
        </is>
      </c>
      <c r="B47" t="inlineStr">
        <is>
          <t>BrokerTech</t>
        </is>
      </c>
      <c r="C47" t="inlineStr">
        <is>
          <t>Technology &amp; AI</t>
        </is>
      </c>
      <c r="D47" t="inlineStr">
        <is>
          <t>United States</t>
        </is>
      </c>
      <c r="E47" t="inlineStr">
        <is>
          <t>The Brokerage, Inc. joins AgencyBloc's partner program as charter member</t>
        </is>
      </c>
      <c r="F47" t="inlineStr">
        <is>
          <t>The agency became the first Strategic-level partner in AgencyBloc's program, days after AgencyBloc and HealthSherpa launched a Medicare integration linking quoting, enrollment and client management in one workflow.</t>
        </is>
      </c>
      <c r="G47" t="inlineStr">
        <is>
          <t>GlobeNewswire</t>
        </is>
      </c>
      <c r="H47" t="inlineStr">
        <is>
          <t>https://www.globenewswire.com/news-release/2026/08/18/3346788/0/en/the-brokerage-inc-joins-agencybloc-partner-program.html</t>
        </is>
      </c>
      <c r="I47" t="inlineStr">
        <is>
          <t>2026-08-18</t>
        </is>
      </c>
    </row>
    <row r="48">
      <c r="A48" t="inlineStr">
        <is>
          <t>2026-08-31</t>
        </is>
      </c>
      <c r="B48" t="inlineStr">
        <is>
          <t>Wealth Management</t>
        </is>
      </c>
      <c r="C48" t="inlineStr">
        <is>
          <t>People &amp; Leadership</t>
        </is>
      </c>
      <c r="D48" t="inlineStr">
        <is>
          <t>United States</t>
        </is>
      </c>
      <c r="E48" t="inlineStr">
        <is>
          <t>Kestra Financial names ex-BlackRock executive Kelly Apple as head of wealth management</t>
        </is>
      </c>
      <c r="F48" t="inlineStr">
        <is>
          <t>Apple, who spent more than 13 years at BlackRock and previously held senior roles at DWS and Van Kampen, will lead Kestra's investment management, high-net-worth, retirement and insurance, and alternative-investment teams.</t>
        </is>
      </c>
      <c r="G48" t="inlineStr">
        <is>
          <t>Business Wire</t>
        </is>
      </c>
      <c r="H48" t="inlineStr">
        <is>
          <t>https://www.businesswire.com/news/home/20260819222135/en/Kestra-Financial-Appoints-Kelly-Apple-as-Next-Head-of-Wealth-Management</t>
        </is>
      </c>
      <c r="I48" t="inlineStr">
        <is>
          <t>2026-08-19</t>
        </is>
      </c>
    </row>
    <row r="49">
      <c r="A49" t="inlineStr">
        <is>
          <t>2026-08-31</t>
        </is>
      </c>
      <c r="B49" t="inlineStr">
        <is>
          <t>Property &amp; Casualty</t>
        </is>
      </c>
      <c r="C49" t="inlineStr">
        <is>
          <t>Market Economics</t>
        </is>
      </c>
      <c r="D49" t="inlineStr">
        <is>
          <t>United States</t>
        </is>
      </c>
      <c r="E49" t="inlineStr">
        <is>
          <t>Calaveras County wildfire burns over 10,000 acres, affecting more than 64,000 policyholders</t>
        </is>
      </c>
      <c r="F49" t="inlineStr">
        <is>
          <t>A California wildfire that broke out earlier in the month has scorched over 10,000 acres and touched more than 64,000 policyholders, as the NAIC's summer national meeting took up property-casualty issues the same week.</t>
        </is>
      </c>
      <c r="G49" t="inlineStr">
        <is>
          <t>PropertyCasualty360</t>
        </is>
      </c>
      <c r="H49" t="inlineStr">
        <is>
          <t>https://www.propertycasualty360.com/2026/08/19/around-the-pc-insurance-industry-august-19-2026/</t>
        </is>
      </c>
      <c r="I49" t="inlineStr">
        <is>
          <t>2026-08-19</t>
        </is>
      </c>
    </row>
    <row r="50">
      <c r="A50" t="inlineStr">
        <is>
          <t>2026-08-31</t>
        </is>
      </c>
      <c r="B50" t="inlineStr">
        <is>
          <t>TPA</t>
        </is>
      </c>
      <c r="C50" t="inlineStr">
        <is>
          <t>People &amp; Leadership</t>
        </is>
      </c>
      <c r="D50" t="inlineStr">
        <is>
          <t>United States</t>
        </is>
      </c>
      <c r="E50" t="inlineStr">
        <is>
          <t>Healthcare Management Administrators names Diane Zalewski CEO</t>
        </is>
      </c>
      <c r="F50" t="inlineStr">
        <is>
          <t>The third-party administrator serving self-funded employers hired Zalewski, formerly president of Payer Solutions at Evernorth, where she ran a business serving health plans, TPAs and employer clients.</t>
        </is>
      </c>
      <c r="G50" t="inlineStr">
        <is>
          <t>PR Newswire</t>
        </is>
      </c>
      <c r="H50" t="inlineStr">
        <is>
          <t>https://www.prnewswire.com/news-releases/healthcare-management-administrators-appoints-diane-zalewski-as-ceo-302846511.html</t>
        </is>
      </c>
      <c r="I50" t="inlineStr">
        <is>
          <t>2026-08-20</t>
        </is>
      </c>
    </row>
    <row r="51">
      <c r="A51" t="inlineStr">
        <is>
          <t>2026-08-31</t>
        </is>
      </c>
      <c r="B51" t="inlineStr">
        <is>
          <t>Brokers &amp; MGA/GA</t>
        </is>
      </c>
      <c r="C51" t="inlineStr">
        <is>
          <t>M&amp;A</t>
        </is>
      </c>
      <c r="D51" t="inlineStr">
        <is>
          <t>United States</t>
        </is>
      </c>
      <c r="E51" t="inlineStr">
        <is>
          <t>Higginbotham joins forces with Two West Capital Advisors to grow retirement plan business</t>
        </is>
      </c>
      <c r="F51" t="inlineStr">
        <is>
          <t>The Fort Worth-based brokerage, ranked 16th-largest in the US, is bringing the Kansas City retirement-plan consulting and wealth management firm's team into its retirement and wealth division, with Two West staying in Kansas City as employee-owners of Higginbotham.</t>
        </is>
      </c>
      <c r="G51" t="inlineStr">
        <is>
          <t>PR Newswire</t>
        </is>
      </c>
      <c r="H51" t="inlineStr">
        <is>
          <t>https://www.prnewswire.com/news-releases/higginbotham-joins-forces-with-two-west-capital-advisors-to-grow-retirement-plan-business-across-the-footprint-302861338.html</t>
        </is>
      </c>
      <c r="I51" t="inlineStr">
        <is>
          <t>2026-08-27</t>
        </is>
      </c>
    </row>
    <row r="52">
      <c r="A52" t="inlineStr">
        <is>
          <t>2026-08-31</t>
        </is>
      </c>
      <c r="B52" t="inlineStr">
        <is>
          <t>Healthcare / Provider &amp; Clinical</t>
        </is>
      </c>
      <c r="C52" t="inlineStr">
        <is>
          <t>Technology &amp; AI</t>
        </is>
      </c>
      <c r="D52" t="inlineStr">
        <is>
          <t>Global</t>
        </is>
      </c>
      <c r="E52" t="inlineStr">
        <is>
          <t>Clinician AI use triples as 74% of doctors and 70% of nurses adopt weekly</t>
        </is>
      </c>
      <c r="F52" t="inlineStr">
        <is>
          <t>A new report finds daily multiple-times-per-day AI use has tripled among doctors and doubled among nurses since 2025, driven by generative AI breakthroughs, near-universal EHR adoption and surging institutional investment in cognitive-computing infrastructure.</t>
        </is>
      </c>
      <c r="G52" t="inlineStr">
        <is>
          <t>GlobeNewswire</t>
        </is>
      </c>
      <c r="H52" t="inlineStr">
        <is>
          <t>https://www.globenewswire.com/news-release/2026/08/27/3352238/0/en/ai-disruption-in-healthcare-cognitive-computing-attracts-record-investment-as-foundation-models-and-generative-ai-reshape-clinical-workflows.html</t>
        </is>
      </c>
      <c r="I52" t="inlineStr">
        <is>
          <t>2026-08-27</t>
        </is>
      </c>
    </row>
    <row r="53">
      <c r="A53" t="inlineStr">
        <is>
          <t>2026-08-31</t>
        </is>
      </c>
      <c r="B53" t="inlineStr">
        <is>
          <t>Health Insurance / Payer</t>
        </is>
      </c>
      <c r="C53" t="inlineStr">
        <is>
          <t>Market Economics</t>
        </is>
      </c>
      <c r="D53" t="inlineStr">
        <is>
          <t>United States</t>
        </is>
      </c>
      <c r="E53" t="inlineStr">
        <is>
          <t>NewYork-Presbyterian and UnitedHealthcare Medicare Advantage contract set to lapse August 31</t>
        </is>
      </c>
      <c r="F53" t="inlineStr">
        <is>
          <t>After repeated extensions since a January deadline, the hospital system and insurer face an August 31 cutoff that would push most UnitedHealthcare Medicare Advantage members out of network, part of a wider pattern of health-system/payer contract breaks in 2026.</t>
        </is>
      </c>
      <c r="G53" t="inlineStr">
        <is>
          <t>CBS News New York</t>
        </is>
      </c>
      <c r="H53" t="inlineStr">
        <is>
          <t>https://www.cbsnews.com/newyork/news/unitedhealthcare-newyork-presbyterian-medicare-advantage/</t>
        </is>
      </c>
      <c r="I53" t="inlineStr">
        <is>
          <t>2026-08-28</t>
        </is>
      </c>
    </row>
    <row r="54">
      <c r="A54" t="inlineStr">
        <is>
          <t>2026-09-01</t>
        </is>
      </c>
      <c r="B54" t="inlineStr">
        <is>
          <t>Brokers &amp; MGA/GA</t>
        </is>
      </c>
      <c r="C54" t="inlineStr">
        <is>
          <t>M&amp;A</t>
        </is>
      </c>
      <c r="D54" t="inlineStr">
        <is>
          <t>United States</t>
        </is>
      </c>
      <c r="E54" t="inlineStr">
        <is>
          <t>WTW completes $1.3 billion acquisition of tech-enabled broker Newfront</t>
        </is>
      </c>
      <c r="F54" t="inlineStr">
        <is>
          <t>Willis Towers Watson finalized its purchase of Newfront Insurance Holdings for $1.3 billion, adding the San Francisco-based broker's technology-driven middle-market and specialty business to its Risk &amp; Broking and Health, Wealth &amp; Career units.</t>
        </is>
      </c>
      <c r="G54" t="inlineStr">
        <is>
          <t>WTW Investor Relations</t>
        </is>
      </c>
      <c r="H54" t="inlineStr">
        <is>
          <t>https://investors.wtwco.com/news-releases/news-release-details/wtw-completes-acquisition-newfront</t>
        </is>
      </c>
      <c r="I54" t="inlineStr">
        <is>
          <t>2026-01-27</t>
        </is>
      </c>
    </row>
    <row r="55">
      <c r="A55" t="inlineStr">
        <is>
          <t>2026-09-01</t>
        </is>
      </c>
      <c r="B55" t="inlineStr">
        <is>
          <t>TPA</t>
        </is>
      </c>
      <c r="C55" t="inlineStr">
        <is>
          <t>Regulatory &amp; Policy</t>
        </is>
      </c>
      <c r="D55" t="inlineStr">
        <is>
          <t>United States</t>
        </is>
      </c>
      <c r="E55" t="inlineStr">
        <is>
          <t>DOL proposes first federal fee-disclosure rule targeting PBMs and TPAs</t>
        </is>
      </c>
      <c r="F55" t="inlineStr">
        <is>
          <t>The US Department of Labor proposed a rule that would require pharmacy benefit managers and third-party administrators to give employer-sponsored ERISA health plans detailed advance disclosure of the fees they charge.</t>
        </is>
      </c>
      <c r="G55" t="inlineStr">
        <is>
          <t>US Department of Labor</t>
        </is>
      </c>
      <c r="H55" t="inlineStr">
        <is>
          <t>https://www.dol.gov/newsroom/releases/ebsa/ebsa20260129</t>
        </is>
      </c>
      <c r="I55" t="inlineStr">
        <is>
          <t>2026-01-29</t>
        </is>
      </c>
    </row>
    <row r="56">
      <c r="A56" t="inlineStr">
        <is>
          <t>2026-09-01</t>
        </is>
      </c>
      <c r="B56" t="inlineStr">
        <is>
          <t>Healthcare / Provider &amp; Clinical</t>
        </is>
      </c>
      <c r="C56" t="inlineStr">
        <is>
          <t>Regulatory &amp; Policy</t>
        </is>
      </c>
      <c r="D56" t="inlineStr">
        <is>
          <t>APAC</t>
        </is>
      </c>
      <c r="E56" t="inlineStr">
        <is>
          <t>Singapore refreshes AI-in-healthcare guidelines with bias and performance monitoring rules</t>
        </is>
      </c>
      <c r="F56" t="inlineStr">
        <is>
          <t>Singapore's Ministry of Health and Health Sciences Authority published updated AI in Healthcare Guidelines requiring ongoing validation, performance monitoring and bias detection for clinical AI tools deployed in the city-state.</t>
        </is>
      </c>
      <c r="G56" t="inlineStr">
        <is>
          <t>Baker McKenzie</t>
        </is>
      </c>
      <c r="H56" t="inlineStr">
        <is>
          <t>https://www.bakermckenzie.com/en/insight/publications/2026/03/singapore-moh-and-hsa-launch-refreshed-ai-in-healthcare-guidelines</t>
        </is>
      </c>
      <c r="I56" t="inlineStr">
        <is>
          <t>2026-03-10</t>
        </is>
      </c>
    </row>
    <row r="57">
      <c r="A57" t="inlineStr">
        <is>
          <t>2026-09-01</t>
        </is>
      </c>
      <c r="B57" t="inlineStr">
        <is>
          <t>Brokers &amp; MGA/GA</t>
        </is>
      </c>
      <c r="C57" t="inlineStr">
        <is>
          <t>M&amp;A</t>
        </is>
      </c>
      <c r="D57" t="inlineStr">
        <is>
          <t>United States</t>
        </is>
      </c>
      <c r="E57" t="inlineStr">
        <is>
          <t>TWFG expands agency footprint with Iowa-based Fortress Insurance Services deal</t>
        </is>
      </c>
      <c r="F57" t="inlineStr">
        <is>
          <t>TWFG completed its acquisition of Fortress Insurance Services, an independent Iowa agency, effective May 1, 2026, continuing a string of tuck-in agency and MGA purchases this year.</t>
        </is>
      </c>
      <c r="G57" t="inlineStr">
        <is>
          <t>SEC EDGAR (TWFG 8-K)</t>
        </is>
      </c>
      <c r="H57" t="inlineStr">
        <is>
          <t>https://www.sec.gov/Archives/edgar/data/2007596/000162828026032140/a991pressreleasedatedmay72.htm</t>
        </is>
      </c>
      <c r="I57" t="inlineStr">
        <is>
          <t>2026-05-01</t>
        </is>
      </c>
    </row>
    <row r="58">
      <c r="A58" t="inlineStr">
        <is>
          <t>2026-09-01</t>
        </is>
      </c>
      <c r="B58" t="inlineStr">
        <is>
          <t>Insurtech</t>
        </is>
      </c>
      <c r="C58" t="inlineStr">
        <is>
          <t>Investments &amp; Funding</t>
        </is>
      </c>
      <c r="D58" t="inlineStr">
        <is>
          <t>UK/Europe</t>
        </is>
      </c>
      <c r="E58" t="inlineStr">
        <is>
          <t>Satellite radar startup ICEYE raises over €1 billion, valuation tops €10 billion</t>
        </is>
      </c>
      <c r="F58" t="inlineStr">
        <is>
          <t>Finnish satellite-imaging company ICEYE raised more than €1 billion in a General Atlantic-led Series F round, pushing its valuation above €10 billion as it doubles annual satellite production for sovereign and insurance risk clients.</t>
        </is>
      </c>
      <c r="G58" t="inlineStr">
        <is>
          <t>ICEYE</t>
        </is>
      </c>
      <c r="H58" t="inlineStr">
        <is>
          <t>https://www.iceye.com/newsroom/press-releases/iceye-leads-a-new-era-of-sovereign-intelligence-from-space-with-1b-funding-round</t>
        </is>
      </c>
      <c r="I58" t="inlineStr">
        <is>
          <t>2026-06-09</t>
        </is>
      </c>
    </row>
    <row r="59">
      <c r="A59" t="inlineStr">
        <is>
          <t>2026-09-01</t>
        </is>
      </c>
      <c r="B59" t="inlineStr">
        <is>
          <t>Property &amp; Casualty</t>
        </is>
      </c>
      <c r="C59" t="inlineStr">
        <is>
          <t>Market Economics</t>
        </is>
      </c>
      <c r="D59" t="inlineStr">
        <is>
          <t>United States</t>
        </is>
      </c>
      <c r="E59" t="inlineStr">
        <is>
          <t>Cyber insurance pricing keeps softening even as third-party claims climb 30%</t>
        </is>
      </c>
      <c r="F59" t="inlineStr">
        <is>
          <t>The US cyber insurance market logged an eighth straight quarter of pricing cuts even as third-party claims rose roughly 30%, a trend likely to pressure loss ratios given the longer tail on such claims.</t>
        </is>
      </c>
      <c r="G59" t="inlineStr">
        <is>
          <t>Claims Journal</t>
        </is>
      </c>
      <c r="H59" t="inlineStr">
        <is>
          <t>https://www.claimsjournal.com/news/national/2026/06/30/338540.htm</t>
        </is>
      </c>
      <c r="I59" t="inlineStr">
        <is>
          <t>2026-06-30</t>
        </is>
      </c>
    </row>
    <row r="60">
      <c r="A60" t="inlineStr">
        <is>
          <t>2026-09-01</t>
        </is>
      </c>
      <c r="B60" t="inlineStr">
        <is>
          <t>Property &amp; Casualty</t>
        </is>
      </c>
      <c r="C60" t="inlineStr">
        <is>
          <t>People &amp; Leadership</t>
        </is>
      </c>
      <c r="D60" t="inlineStr">
        <is>
          <t>United States</t>
        </is>
      </c>
      <c r="E60" t="inlineStr">
        <is>
          <t>AIG names Nancy Bewlay global chief underwriting officer</t>
        </is>
      </c>
      <c r="F60" t="inlineStr">
        <is>
          <t>AIG appointed Nancy Bewlay, formerly AXA's group chief underwriting and pricing officer, as executive vice president and global chief underwriting officer effective September 8, 2026, reporting to CEO Eric Andersen.</t>
        </is>
      </c>
      <c r="G60" t="inlineStr">
        <is>
          <t>Business Wire</t>
        </is>
      </c>
      <c r="H60" t="inlineStr">
        <is>
          <t>https://www.businesswire.com/news/home/20260701161014/en/AIG-Appoints-Nancy-Bewlay-as-Global-Chief-Underwriting-Officer</t>
        </is>
      </c>
      <c r="I60" t="inlineStr">
        <is>
          <t>2026-07-01</t>
        </is>
      </c>
    </row>
    <row r="61">
      <c r="A61" t="inlineStr">
        <is>
          <t>2026-09-01</t>
        </is>
      </c>
      <c r="B61" t="inlineStr">
        <is>
          <t>Property &amp; Casualty</t>
        </is>
      </c>
      <c r="C61" t="inlineStr">
        <is>
          <t>Regulatory &amp; Policy</t>
        </is>
      </c>
      <c r="D61" t="inlineStr">
        <is>
          <t>UK/Europe</t>
        </is>
      </c>
      <c r="E61" t="inlineStr">
        <is>
          <t>Bank of England's new insurer liquidity reporting rules take effect September 30</t>
        </is>
      </c>
      <c r="F61" t="inlineStr">
        <is>
          <t>New Bank of England liquidity reporting requirements for large UK Solvency II insurers with significant derivatives or securities-lending exposure come into force on September 30, 2026, closing a gap flagged in an earlier PRA consultation.</t>
        </is>
      </c>
      <c r="G61" t="inlineStr">
        <is>
          <t>Bank of England</t>
        </is>
      </c>
      <c r="H61" t="inlineStr">
        <is>
          <t>https://www.bankofengland.co.uk/prudential-regulation/regulatory-reporting/regulatory-reporting-insurance-sector</t>
        </is>
      </c>
      <c r="I61" t="inlineStr">
        <is>
          <t>2026-08-01</t>
        </is>
      </c>
    </row>
    <row r="62">
      <c r="A62" t="inlineStr">
        <is>
          <t>2026-09-01</t>
        </is>
      </c>
      <c r="B62" t="inlineStr">
        <is>
          <t>Health Insurance / Payer</t>
        </is>
      </c>
      <c r="C62" t="inlineStr">
        <is>
          <t>Market Economics</t>
        </is>
      </c>
      <c r="D62" t="inlineStr">
        <is>
          <t>United States</t>
        </is>
      </c>
      <c r="E62" t="inlineStr">
        <is>
          <t>CVS Health tops Q2 estimates and lifts guidance as Aetna shows signs of recovery</t>
        </is>
      </c>
      <c r="F62" t="inlineStr">
        <is>
          <t>CVS Health beat second-quarter earnings and revenue estimates and raised its 2026 guidance as its Aetna insurance unit continued to recover, though shares slipped after the company flagged expected membership declines at Caremark.</t>
        </is>
      </c>
      <c r="G62" t="inlineStr">
        <is>
          <t>CNBC</t>
        </is>
      </c>
      <c r="H62" t="inlineStr">
        <is>
          <t>https://www.cnbc.com/2026/08/05/cvs-health-cvs-earnings-q2-2026.html</t>
        </is>
      </c>
      <c r="I62" t="inlineStr">
        <is>
          <t>2026-08-05</t>
        </is>
      </c>
    </row>
    <row r="63">
      <c r="A63" t="inlineStr">
        <is>
          <t>2026-09-01</t>
        </is>
      </c>
      <c r="B63" t="inlineStr">
        <is>
          <t>Investments</t>
        </is>
      </c>
      <c r="C63" t="inlineStr">
        <is>
          <t>Market Economics</t>
        </is>
      </c>
      <c r="D63" t="inlineStr">
        <is>
          <t>United States</t>
        </is>
      </c>
      <c r="E63" t="inlineStr">
        <is>
          <t>Assurant's net investment income jumps 19% in first half of 2026</t>
        </is>
      </c>
      <c r="F63" t="inlineStr">
        <is>
          <t>Assurant reported net investment income of $302.0 million for the first six months of 2026, up from $253.5 million a year earlier, driven by higher yields and larger fixed-maturity holdings.</t>
        </is>
      </c>
      <c r="G63" t="inlineStr">
        <is>
          <t>SEC EDGAR (Assurant 10-Q)</t>
        </is>
      </c>
      <c r="H63" t="inlineStr">
        <is>
          <t>https://www.sec.gov/Archives/edgar/data/0001267238/000126723826000041/aiz-20260630.htm</t>
        </is>
      </c>
      <c r="I63" t="inlineStr">
        <is>
          <t>2026-08-05</t>
        </is>
      </c>
    </row>
    <row r="64">
      <c r="A64" t="inlineStr">
        <is>
          <t>2026-09-01</t>
        </is>
      </c>
      <c r="B64" t="inlineStr">
        <is>
          <t>Insurtech</t>
        </is>
      </c>
      <c r="C64" t="inlineStr">
        <is>
          <t>Technology &amp; AI</t>
        </is>
      </c>
      <c r="D64" t="inlineStr">
        <is>
          <t>Global</t>
        </is>
      </c>
      <c r="E64" t="inlineStr">
        <is>
          <t>AI-labeled insurtechs capture 99% of second-quarter funding as early-stage deals cool</t>
        </is>
      </c>
      <c r="F64" t="inlineStr">
        <is>
          <t>AI-focused insurtechs absorbed 99.1% of all Q2 2026 insurtech funding, or $2.42 billion, even as early-stage deal activity slowed, extending a run in which AI has dominated investor interest in the sector.</t>
        </is>
      </c>
      <c r="G64" t="inlineStr">
        <is>
          <t>Risk &amp; Insurance</t>
        </is>
      </c>
      <c r="H64" t="inlineStr">
        <is>
          <t>https://riskandinsurance.com/ai-dominates-insurtech-funding-in-q2-as-early-stage-deals-cool-sharply/</t>
        </is>
      </c>
      <c r="I64" t="inlineStr">
        <is>
          <t>2026-08-10</t>
        </is>
      </c>
    </row>
    <row r="65">
      <c r="A65" t="inlineStr">
        <is>
          <t>2026-09-01</t>
        </is>
      </c>
      <c r="B65" t="inlineStr">
        <is>
          <t>Wealth Management</t>
        </is>
      </c>
      <c r="C65" t="inlineStr">
        <is>
          <t>Investments &amp; Funding</t>
        </is>
      </c>
      <c r="D65" t="inlineStr">
        <is>
          <t>United States</t>
        </is>
      </c>
      <c r="E65" t="inlineStr">
        <is>
          <t>AI-native advisor platform Jump raises $80 million Series B</t>
        </is>
      </c>
      <c r="F65" t="inlineStr">
        <is>
          <t>Jump, an AI platform for financial advisors, raised an $80 million Series B led by Insight Partners with participation from F-Prime Capital and Allianz Life Ventures, four times the size of its Series A.</t>
        </is>
      </c>
      <c r="G65" t="inlineStr">
        <is>
          <t>The Daily Upside</t>
        </is>
      </c>
      <c r="H65" t="inlineStr">
        <is>
          <t>https://www.thedailyupside.com/advisor/wealthtech/wealthtech-jump-raises-80m-as-ai-wealthtech-funding-surges/</t>
        </is>
      </c>
      <c r="I65" t="inlineStr">
        <is>
          <t>2026-08-15</t>
        </is>
      </c>
    </row>
    <row r="66">
      <c r="A66" t="inlineStr">
        <is>
          <t>2026-09-01</t>
        </is>
      </c>
      <c r="B66" t="inlineStr">
        <is>
          <t>Brokers &amp; MGA/GA</t>
        </is>
      </c>
      <c r="C66" t="inlineStr">
        <is>
          <t>M&amp;A</t>
        </is>
      </c>
      <c r="D66" t="inlineStr">
        <is>
          <t>United States</t>
        </is>
      </c>
      <c r="E66" t="inlineStr">
        <is>
          <t>Willis Re to acquire BMS Group's US reinsurance division</t>
        </is>
      </c>
      <c r="F66" t="inlineStr">
        <is>
          <t>Willis Re agreed to buy the US reinsurance broking and capital-advisory business of BMS Group, including its catastrophe bond and ILS team, marking Willis Re's first major deal since its relaunch.</t>
        </is>
      </c>
      <c r="G66" t="inlineStr">
        <is>
          <t>Business Insurance</t>
        </is>
      </c>
      <c r="H66" t="inlineStr">
        <is>
          <t>https://www.businessinsurance.com/willis-re-to-buy-us-division-of-bms-re/</t>
        </is>
      </c>
      <c r="I66" t="inlineStr">
        <is>
          <t>2026-08-25</t>
        </is>
      </c>
    </row>
    <row r="67">
      <c r="A67" t="inlineStr">
        <is>
          <t>2026-09-01</t>
        </is>
      </c>
      <c r="B67" t="inlineStr">
        <is>
          <t>Property &amp; Casualty</t>
        </is>
      </c>
      <c r="C67" t="inlineStr">
        <is>
          <t>Market Economics</t>
        </is>
      </c>
      <c r="D67" t="inlineStr">
        <is>
          <t>Global</t>
        </is>
      </c>
      <c r="E67" t="inlineStr">
        <is>
          <t>Catastrophe bond issuance hits record $24.9 billion as alternative capital tops $144 billion</t>
        </is>
      </c>
      <c r="F67" t="inlineStr">
        <is>
          <t>Aon's latest Insurance-Linked Securities report shows catastrophe bond issuance reached an all-time high of $24.9 billion over the year to June 30, 2026, pushing total alternative reinsurance capital to a record $144.5 billion.</t>
        </is>
      </c>
      <c r="G67" t="inlineStr">
        <is>
          <t>Aon</t>
        </is>
      </c>
      <c r="H67" t="inlineStr">
        <is>
          <t>https://aon.mediaroom.com/2026-08-28-ILS-Becomes-Foundational-Reinsurance-Capital-as-Sector-Reaches-New-Heights-Aon-Report</t>
        </is>
      </c>
      <c r="I67" t="inlineStr">
        <is>
          <t>2026-08-28</t>
        </is>
      </c>
    </row>
    <row r="68">
      <c r="A68" t="inlineStr">
        <is>
          <t>2026-09-02</t>
        </is>
      </c>
      <c r="B68" t="inlineStr">
        <is>
          <t>Property &amp; Casualty</t>
        </is>
      </c>
      <c r="C68" t="inlineStr">
        <is>
          <t>Regulatory &amp; Policy</t>
        </is>
      </c>
      <c r="D68" t="inlineStr">
        <is>
          <t>UK/Europe</t>
        </is>
      </c>
      <c r="E68" t="inlineStr">
        <is>
          <t>UK's FCA lays out 2026 insurance supervision priorities in first annual report</t>
        </is>
      </c>
      <c r="F68" t="inlineStr">
        <is>
          <t>The Financial Conduct Authority published its first annual insurance-sector regulatory priorities report, consolidating prior portfolio letters and putting claims handling and access to insurance for vulnerable consumers at the center.</t>
        </is>
      </c>
      <c r="G68" t="inlineStr">
        <is>
          <t>Skadden</t>
        </is>
      </c>
      <c r="H68" t="inlineStr">
        <is>
          <t>https://www.skadden.com/insights/publications/2026/03/uk-financial-conduct-authority-reveals-its-regulatory-priorities</t>
        </is>
      </c>
      <c r="I68" t="inlineStr">
        <is>
          <t>2026-03-01</t>
        </is>
      </c>
    </row>
    <row r="69">
      <c r="A69" t="inlineStr">
        <is>
          <t>2026-09-02</t>
        </is>
      </c>
      <c r="B69" t="inlineStr">
        <is>
          <t>Healthcare / Provider &amp; Clinical</t>
        </is>
      </c>
      <c r="C69" t="inlineStr">
        <is>
          <t>Technology &amp; AI</t>
        </is>
      </c>
      <c r="D69" t="inlineStr">
        <is>
          <t>United States</t>
        </is>
      </c>
      <c r="E69" t="inlineStr">
        <is>
          <t>Innovaccer and AWS sign multi-year deal to scale agentic AI across health systems</t>
        </is>
      </c>
      <c r="F69" t="inlineStr">
        <is>
          <t>Innovaccer and AWS announced a strategic collaboration pairing Innovaccer's healthcare AI platform with AWS infrastructure, including Bedrock and HealthLake, to help health systems and payers move AI pilots into production faster.</t>
        </is>
      </c>
      <c r="G69" t="inlineStr">
        <is>
          <t>BusinessWire</t>
        </is>
      </c>
      <c r="H69" t="inlineStr">
        <is>
          <t>https://www.businesswire.com/news/home/20260625517722/en/Innovaccer-Signs-Multi-Year-Strategic-Collaboration-Agreement-with-AWS-to-Accelerate-AI-Driven-Healthcare-Autonomy</t>
        </is>
      </c>
      <c r="I69" t="inlineStr">
        <is>
          <t>2026-06-25</t>
        </is>
      </c>
    </row>
    <row r="70">
      <c r="A70" t="inlineStr">
        <is>
          <t>2026-09-02</t>
        </is>
      </c>
      <c r="B70" t="inlineStr">
        <is>
          <t>Investments</t>
        </is>
      </c>
      <c r="C70" t="inlineStr">
        <is>
          <t>Market Economics</t>
        </is>
      </c>
      <c r="D70" t="inlineStr">
        <is>
          <t>Global</t>
        </is>
      </c>
      <c r="E70" t="inlineStr">
        <is>
          <t>BCG says asset managers need a new growth playbook as fee pressure mounts</t>
        </is>
      </c>
      <c r="F70" t="inlineStr">
        <is>
          <t>Boston Consulting Group's 2026 global asset management report argues the industry must rethink its economics as traditional fee-based growth slows and firms turn to alternatives and AI for margin.</t>
        </is>
      </c>
      <c r="G70" t="inlineStr">
        <is>
          <t>BCG</t>
        </is>
      </c>
      <c r="H70" t="inlineStr">
        <is>
          <t>https://www.bcg.com/publications/2026/an-imperative-for-growth-and-the-new-economics-of-asset-management</t>
        </is>
      </c>
      <c r="I70" t="inlineStr">
        <is>
          <t>2026-07-01</t>
        </is>
      </c>
    </row>
    <row r="71">
      <c r="A71" t="inlineStr">
        <is>
          <t>2026-09-02</t>
        </is>
      </c>
      <c r="B71" t="inlineStr">
        <is>
          <t>Property &amp; Casualty</t>
        </is>
      </c>
      <c r="C71" t="inlineStr">
        <is>
          <t>Technology &amp; AI</t>
        </is>
      </c>
      <c r="D71" t="inlineStr">
        <is>
          <t>United States</t>
        </is>
      </c>
      <c r="E71" t="inlineStr">
        <is>
          <t>Qumis launches attorney-certified AI agents for commercial coverage analysis</t>
        </is>
      </c>
      <c r="F71" t="inlineStr">
        <is>
          <t>Insurtech Qumis rolled out specialist AI agents covering 16 lines of commercial insurance that analyze full programs and produce citation-backed coverage conclusions, already in use at several of the largest US brokers.</t>
        </is>
      </c>
      <c r="G71" t="inlineStr">
        <is>
          <t>Yahoo Finance</t>
        </is>
      </c>
      <c r="H71" t="inlineStr">
        <is>
          <t>https://finance.yahoo.com/technology/ai/articles/qumis-launches-industrys-first-attorney-130000634.html</t>
        </is>
      </c>
      <c r="I71" t="inlineStr">
        <is>
          <t>2026-07-21</t>
        </is>
      </c>
    </row>
    <row r="72">
      <c r="A72" t="inlineStr">
        <is>
          <t>2026-09-02</t>
        </is>
      </c>
      <c r="B72" t="inlineStr">
        <is>
          <t>FinTech</t>
        </is>
      </c>
      <c r="C72" t="inlineStr">
        <is>
          <t>Technology &amp; AI</t>
        </is>
      </c>
      <c r="D72" t="inlineStr">
        <is>
          <t>UK/Europe</t>
        </is>
      </c>
      <c r="E72" t="inlineStr">
        <is>
          <t>NatWest launches embedded home insurance through Uinsure partnership</t>
        </is>
      </c>
      <c r="F72" t="inlineStr">
        <is>
          <t>UK bank NatWest rolled out a new home insurance offering built on Manchester-based insurtech Uinsure's digital infrastructure, part of a broader wave of embedded-insurance partnerships between banks and insurtechs this year.</t>
        </is>
      </c>
      <c r="G72" t="inlineStr">
        <is>
          <t>FinTech Futures</t>
        </is>
      </c>
      <c r="H72" t="inlineStr">
        <is>
          <t>https://www.fintechfutures.com/partnerships/august-2026-top-five-fintech-partnership-stories-of-the-month</t>
        </is>
      </c>
      <c r="I72" t="inlineStr">
        <is>
          <t>2026-08-01</t>
        </is>
      </c>
    </row>
    <row r="73">
      <c r="A73" t="inlineStr">
        <is>
          <t>2026-09-02</t>
        </is>
      </c>
      <c r="B73" t="inlineStr">
        <is>
          <t>Investments</t>
        </is>
      </c>
      <c r="C73" t="inlineStr">
        <is>
          <t>Market Economics</t>
        </is>
      </c>
      <c r="D73" t="inlineStr">
        <is>
          <t>APAC</t>
        </is>
      </c>
      <c r="E73" t="inlineStr">
        <is>
          <t>Japan's largest life insurers report $96 billion in unrealized bond losses</t>
        </is>
      </c>
      <c r="F73" t="inlineStr">
        <is>
          <t>Japan's four biggest life insurers saw combined paper losses on domestic bond holdings swell 7% in the quarter through June, underscoring the strain rising global yields are putting on insurer balance sheets.</t>
        </is>
      </c>
      <c r="G73" t="inlineStr">
        <is>
          <t>Bloomberg</t>
        </is>
      </c>
      <c r="H73" t="inlineStr">
        <is>
          <t>https://www.bloomberg.com/news/articles/2026-08-07/japan-s-biggest-insurers-post-96-billion-in-bond-paper-losses</t>
        </is>
      </c>
      <c r="I73" t="inlineStr">
        <is>
          <t>2026-08-07</t>
        </is>
      </c>
    </row>
    <row r="74">
      <c r="A74" t="inlineStr">
        <is>
          <t>2026-09-02</t>
        </is>
      </c>
      <c r="B74" t="inlineStr">
        <is>
          <t>Retirement</t>
        </is>
      </c>
      <c r="C74" t="inlineStr">
        <is>
          <t>Technology &amp; AI</t>
        </is>
      </c>
      <c r="D74" t="inlineStr">
        <is>
          <t>United States</t>
        </is>
      </c>
      <c r="E74" t="inlineStr">
        <is>
          <t>TIAA and Nuveen's lifetime-income target-date funds cross 1,000 employer plans</t>
        </is>
      </c>
      <c r="F74" t="inlineStr">
        <is>
          <t>TIAA and Nuveen said their suite of target-date funds with built-in annuity options, including TIAA RetirePlus and the Nuveen Lifecycle Income CIT series, has now been adopted by more than 1,000 employer retirement plans.</t>
        </is>
      </c>
      <c r="G74" t="inlineStr">
        <is>
          <t>401k Specialist</t>
        </is>
      </c>
      <c r="H74" t="inlineStr">
        <is>
          <t>https://401kspecialistmag.com/tiaa-nuveen-reach-1000-employer-milestone-with-lifetime-income-tdfs/</t>
        </is>
      </c>
      <c r="I74" t="inlineStr">
        <is>
          <t>2026-08-10</t>
        </is>
      </c>
    </row>
    <row r="75">
      <c r="A75" t="inlineStr">
        <is>
          <t>2026-09-02</t>
        </is>
      </c>
      <c r="B75" t="inlineStr">
        <is>
          <t>Brokers &amp; MGA/GA</t>
        </is>
      </c>
      <c r="C75" t="inlineStr">
        <is>
          <t>Market Economics</t>
        </is>
      </c>
      <c r="D75" t="inlineStr">
        <is>
          <t>Global</t>
        </is>
      </c>
      <c r="E75" t="inlineStr">
        <is>
          <t>Brokers rate the MGAs that stood out in 2026 in Insurance Business Canada's annual review</t>
        </is>
      </c>
      <c r="F75" t="inlineStr">
        <is>
          <t>Insurance Business Canada opened its 10th annual Brokers on MGAs evaluation, inviting brokers to score managing general agents on underwriting responsiveness, technical expertise, compensation and claims support.</t>
        </is>
      </c>
      <c r="G75" t="inlineStr">
        <is>
          <t>Insurance Business</t>
        </is>
      </c>
      <c r="H75" t="inlineStr">
        <is>
          <t>https://www.insurancebusinessmag.com/ca/news/breaking-news/brokers-picks-spotlight-the-mgas-that-stand-out-in-2026-575442.aspx</t>
        </is>
      </c>
      <c r="I75" t="inlineStr">
        <is>
          <t>2026-08-15</t>
        </is>
      </c>
    </row>
    <row r="76">
      <c r="A76" t="inlineStr">
        <is>
          <t>2026-09-02</t>
        </is>
      </c>
      <c r="B76" t="inlineStr">
        <is>
          <t>Wealth Management</t>
        </is>
      </c>
      <c r="C76" t="inlineStr">
        <is>
          <t>Technology &amp; AI</t>
        </is>
      </c>
      <c r="D76" t="inlineStr">
        <is>
          <t>India</t>
        </is>
      </c>
      <c r="E76" t="inlineStr">
        <is>
          <t>India's wealth managers grapple with fragmented data as portfolios grow more complex</t>
        </is>
      </c>
      <c r="F76" t="inlineStr">
        <is>
          <t>Industry panelists at a Hubbis discussion said rapid wealth creation and intergenerational transfer are exposing gaps in Indian wealth managers' legacy data and operating systems, pushing firms toward consolidated platforms and AI tools.</t>
        </is>
      </c>
      <c r="G76" t="inlineStr">
        <is>
          <t>Hubbis</t>
        </is>
      </c>
      <c r="H76" t="inlineStr">
        <is>
          <t>https://www.hubbis.com/article/platforms-pressure-and-progress-confronting-the-real-challenges-reshaping-india-s-wealth-management-industry</t>
        </is>
      </c>
      <c r="I76" t="inlineStr">
        <is>
          <t>2026-08-15</t>
        </is>
      </c>
    </row>
    <row r="77">
      <c r="A77" t="inlineStr">
        <is>
          <t>2026-09-02</t>
        </is>
      </c>
      <c r="B77" t="inlineStr">
        <is>
          <t>Wealth Management</t>
        </is>
      </c>
      <c r="C77" t="inlineStr">
        <is>
          <t>Technology &amp; AI</t>
        </is>
      </c>
      <c r="D77" t="inlineStr">
        <is>
          <t>United States</t>
        </is>
      </c>
      <c r="E77" t="inlineStr">
        <is>
          <t>Advisors take a cautious approach to AI tools despite a crowded wealthtech field</t>
        </is>
      </c>
      <c r="F77" t="inlineStr">
        <is>
          <t>At the Future Proof Citywide conference in Miami, 86 wealthtech firms competed for demo slots spanning CRM, tax planning, compliance and agentic AI assistants, but advisors said they remain cautious about full-scale adoption.</t>
        </is>
      </c>
      <c r="G77" t="inlineStr">
        <is>
          <t>WealthManagement.com</t>
        </is>
      </c>
      <c r="H77" t="inlineStr">
        <is>
          <t>https://www.wealthmanagement.com/ria-news/in-a-sea-of-ai-tools-financial-advisors-are-mostly-dipping-toes</t>
        </is>
      </c>
      <c r="I77" t="inlineStr">
        <is>
          <t>2026-08-20</t>
        </is>
      </c>
    </row>
    <row r="78">
      <c r="A78" t="inlineStr">
        <is>
          <t>2026-09-02</t>
        </is>
      </c>
      <c r="B78" t="inlineStr">
        <is>
          <t>Wealth Management</t>
        </is>
      </c>
      <c r="C78" t="inlineStr">
        <is>
          <t>M&amp;A</t>
        </is>
      </c>
      <c r="D78" t="inlineStr">
        <is>
          <t>United States</t>
        </is>
      </c>
      <c r="E78" t="inlineStr">
        <is>
          <t>Sequoia Financial expands in Colorado with $2.3 billion RIA acquisition</t>
        </is>
      </c>
      <c r="F78" t="inlineStr">
        <is>
          <t>Akron-based Sequoia Financial Group, which manages $34.9 billion in assets, acquired Colorado registered investment advisor BSW Wealth Partners in its latest consolidation move.</t>
        </is>
      </c>
      <c r="G78" t="inlineStr">
        <is>
          <t>WealthManagement.com</t>
        </is>
      </c>
      <c r="H78" t="inlineStr">
        <is>
          <t>https://www.wealthmanagement.com/ria-news/sequoia-financial-acquires-2-3b-ria-bsw-wealth-partners-deepening-colorado-presence</t>
        </is>
      </c>
      <c r="I78" t="inlineStr">
        <is>
          <t>2026-08-25</t>
        </is>
      </c>
    </row>
    <row r="79">
      <c r="A79" t="inlineStr">
        <is>
          <t>2026-09-02</t>
        </is>
      </c>
      <c r="B79" t="inlineStr">
        <is>
          <t>FinTech</t>
        </is>
      </c>
      <c r="C79" t="inlineStr">
        <is>
          <t>Regulatory &amp; Policy</t>
        </is>
      </c>
      <c r="D79" t="inlineStr">
        <is>
          <t>Global</t>
        </is>
      </c>
      <c r="E79" t="inlineStr">
        <is>
          <t>Embedded finance's growth collides with a regulatory reckoning</t>
        </is>
      </c>
      <c r="F79" t="inlineStr">
        <is>
          <t>As embedded finance and insurance partnerships proliferate, regulators are increasing scrutiny of sponsor-bank and fintech partnerships, with compliance violations already costing many sponsor banks over $100,000 each.</t>
        </is>
      </c>
      <c r="G79" t="inlineStr">
        <is>
          <t>FinTech Global</t>
        </is>
      </c>
      <c r="H79" t="inlineStr">
        <is>
          <t>https://fintech.global/2026/08/26/embedded-finance-boom-collides-with-regulatory-reckoning/</t>
        </is>
      </c>
      <c r="I79" t="inlineStr">
        <is>
          <t>2026-08-26</t>
        </is>
      </c>
    </row>
    <row r="80">
      <c r="A80" t="inlineStr">
        <is>
          <t>2026-09-02</t>
        </is>
      </c>
      <c r="B80" t="inlineStr">
        <is>
          <t>Insurtech</t>
        </is>
      </c>
      <c r="C80" t="inlineStr">
        <is>
          <t>Regulatory &amp; Policy</t>
        </is>
      </c>
      <c r="D80" t="inlineStr">
        <is>
          <t>India</t>
        </is>
      </c>
      <c r="E80" t="inlineStr">
        <is>
          <t>IRDAI proposes a nationwide Public Insurance Registry to digitize India's insurance ecosystem</t>
        </is>
      </c>
      <c r="F80" t="inlineStr">
        <is>
          <t>India's insurance regulator released a consultation paper proposing a population-scale Public Insurance Registry connecting insurers, intermediaries, reinsurers and policyholders through a single interoperable digital framework.</t>
        </is>
      </c>
      <c r="G80" t="inlineStr">
        <is>
          <t>hi INDiA</t>
        </is>
      </c>
      <c r="H80" t="inlineStr">
        <is>
          <t>https://hiindia.com/irdai-proposes-public-insurance-registry-to-create-integrated-transparent-insurance-ecosystem/</t>
        </is>
      </c>
      <c r="I80" t="inlineStr">
        <is>
          <t>2026-09-01</t>
        </is>
      </c>
    </row>
    <row r="81">
      <c r="A81" t="inlineStr">
        <is>
          <t>2026-09-03</t>
        </is>
      </c>
      <c r="B81" t="inlineStr">
        <is>
          <t>Retirement</t>
        </is>
      </c>
      <c r="C81" t="inlineStr">
        <is>
          <t>Regulatory &amp; Policy</t>
        </is>
      </c>
      <c r="D81" t="inlineStr">
        <is>
          <t>United States</t>
        </is>
      </c>
      <c r="E81" t="inlineStr">
        <is>
          <t>SECURE 2.0's Roth catch-up contribution mandate takes effect for higher earners</t>
        </is>
      </c>
      <c r="F81" t="inlineStr">
        <is>
          <t>Starting January 1, 2026, SECURE 2.0 requires employees age 50-plus earning more than $150,000 in FICA wages to make catch-up 401(k) contributions on a Roth, after-tax basis, a compliance change employers spent the year preparing payroll and plan systems for.</t>
        </is>
      </c>
      <c r="G81" t="inlineStr">
        <is>
          <t>Employee Fiduciary</t>
        </is>
      </c>
      <c r="H81" t="inlineStr">
        <is>
          <t>https://www.employeefiduciary.com/blog/401k-catch-up-contributions</t>
        </is>
      </c>
      <c r="I81" t="inlineStr">
        <is>
          <t>2026-01-01</t>
        </is>
      </c>
    </row>
    <row r="82">
      <c r="A82" t="inlineStr">
        <is>
          <t>2026-09-03</t>
        </is>
      </c>
      <c r="B82" t="inlineStr">
        <is>
          <t>Insurtech</t>
        </is>
      </c>
      <c r="C82" t="inlineStr">
        <is>
          <t>Investments &amp; Funding</t>
        </is>
      </c>
      <c r="D82" t="inlineStr">
        <is>
          <t>United States</t>
        </is>
      </c>
      <c r="E82" t="inlineStr">
        <is>
          <t>AI-native carrier Corgi raises $108 million and wins regulatory approval to underwrite startups</t>
        </is>
      </c>
      <c r="F82" t="inlineStr">
        <is>
          <t>Corgi secured $108 million in funding along with regulatory authority to operate as a full-stack, AI-native insurance carrier focused on startup companies, with plans to expand coverage options and invest further in underwriting and claims automation.</t>
        </is>
      </c>
      <c r="G82" t="inlineStr">
        <is>
          <t>Fundraise Insider</t>
        </is>
      </c>
      <c r="H82" t="inlineStr">
        <is>
          <t>https://fundraiseinsider.com/blog/insurance-startups/</t>
        </is>
      </c>
      <c r="I82" t="inlineStr">
        <is>
          <t>2026-07-15</t>
        </is>
      </c>
    </row>
    <row r="83">
      <c r="A83" t="inlineStr">
        <is>
          <t>2026-09-03</t>
        </is>
      </c>
      <c r="B83" t="inlineStr">
        <is>
          <t>Insurtech</t>
        </is>
      </c>
      <c r="C83" t="inlineStr">
        <is>
          <t>Market Economics</t>
        </is>
      </c>
      <c r="D83" t="inlineStr">
        <is>
          <t>Global</t>
        </is>
      </c>
      <c r="E83" t="inlineStr">
        <is>
          <t>Insurtech investors write fewer, much larger checks in 2026</t>
        </is>
      </c>
      <c r="F83" t="inlineStr">
        <is>
          <t>The median insurtech funding round size roughly doubled to $30 million in 2026 from $16.5 million a year earlier, as investors consolidate capital behind fewer companies with proven AI-driven underwriting or claims capabilities.</t>
        </is>
      </c>
      <c r="G83" t="inlineStr">
        <is>
          <t>Finovate</t>
        </is>
      </c>
      <c r="H83" t="inlineStr">
        <is>
          <t>https://finovate.com/insurtech-2026-raising-capital-leveraging-ai-and-a-look-at-finovates-insurtech-alums/</t>
        </is>
      </c>
      <c r="I83" t="inlineStr">
        <is>
          <t>2026-08-01</t>
        </is>
      </c>
    </row>
    <row r="84">
      <c r="A84" t="inlineStr">
        <is>
          <t>2026-09-03</t>
        </is>
      </c>
      <c r="B84" t="inlineStr">
        <is>
          <t>Investments</t>
        </is>
      </c>
      <c r="C84" t="inlineStr">
        <is>
          <t>Market Economics</t>
        </is>
      </c>
      <c r="D84" t="inlineStr">
        <is>
          <t>United States</t>
        </is>
      </c>
      <c r="E84" t="inlineStr">
        <is>
          <t>Active fixed-income managers keep beating benchmarks inside target-date funds</t>
        </is>
      </c>
      <c r="F84" t="inlineStr">
        <is>
          <t>J.P. Morgan Asset Management research finds actively managed fixed-income sleeves inside target-date funds have outperformed their benchmarks net of fees in 94% of rolling three-year periods, reinforcing active management's role in DC default investments.</t>
        </is>
      </c>
      <c r="G84" t="inlineStr">
        <is>
          <t>J.P. Morgan Asset Management</t>
        </is>
      </c>
      <c r="H84" t="inlineStr">
        <is>
          <t>https://am.jpmorgan.com/us/en/asset-management/adv/insights/retirement-insights/defined-contribution/active-fixed-income-hits-the-mark-in-target-date-funds/</t>
        </is>
      </c>
      <c r="I84" t="inlineStr">
        <is>
          <t>2026-08-01</t>
        </is>
      </c>
    </row>
    <row r="85">
      <c r="A85" t="inlineStr">
        <is>
          <t>2026-09-03</t>
        </is>
      </c>
      <c r="B85" t="inlineStr">
        <is>
          <t>Life &amp; Annuities</t>
        </is>
      </c>
      <c r="C85" t="inlineStr">
        <is>
          <t>M&amp;A</t>
        </is>
      </c>
      <c r="D85" t="inlineStr">
        <is>
          <t>Global</t>
        </is>
      </c>
      <c r="E85" t="inlineStr">
        <is>
          <t>Sun Life and Wilton Re form strategic life and annuity reinsurance partnership, launching Windsor Life Re</t>
        </is>
      </c>
      <c r="F85" t="inlineStr">
        <is>
          <t>Sun Life and Wilton Re signed a definitive agreement combining reinsurance and asset-management capabilities across life and annuity blocks, with Wilton Re establishing the U.S./Bermuda-domiciled Windsor Life Re to support future in-force block origination.</t>
        </is>
      </c>
      <c r="G85" t="inlineStr">
        <is>
          <t>Sun Life</t>
        </is>
      </c>
      <c r="H85" t="inlineStr">
        <is>
          <t>https://www.sunlife.com/en/newsroom/news-releases/announcement/sun-life-and-wilton-re-announce-a-strategic-partnership-combining-depth-and-breadth-of-capabilities-across-life-and-annuity-reinsurance-and-asset-management/124124/</t>
        </is>
      </c>
      <c r="I85" t="inlineStr">
        <is>
          <t>2026-08-01</t>
        </is>
      </c>
    </row>
    <row r="86">
      <c r="A86" t="inlineStr">
        <is>
          <t>2026-09-03</t>
        </is>
      </c>
      <c r="B86" t="inlineStr">
        <is>
          <t>Retirement</t>
        </is>
      </c>
      <c r="C86" t="inlineStr">
        <is>
          <t>Market Economics</t>
        </is>
      </c>
      <c r="D86" t="inlineStr">
        <is>
          <t>United States</t>
        </is>
      </c>
      <c r="E86" t="inlineStr">
        <is>
          <t>Guaranteed income options gain interest among DC plan sponsors, though adoption still lags</t>
        </is>
      </c>
      <c r="F86" t="inlineStr">
        <is>
          <t>A defined-contribution plan sponsor survey found growing interest in guaranteed retirement income options, but only 17% of sponsors said they are very or extremely likely to add one within the next 12-18 months, underscoring a gap between interest and adoption.</t>
        </is>
      </c>
      <c r="G86" t="inlineStr">
        <is>
          <t>401(k) Specialist</t>
        </is>
      </c>
      <c r="H86" t="inlineStr">
        <is>
          <t>https://401kspecialistmag.com/plan-sponsors-participants-may-target-income-solutions-in-2026/</t>
        </is>
      </c>
      <c r="I86" t="inlineStr">
        <is>
          <t>2026-08-01</t>
        </is>
      </c>
    </row>
    <row r="87">
      <c r="A87" t="inlineStr">
        <is>
          <t>2026-09-03</t>
        </is>
      </c>
      <c r="B87" t="inlineStr">
        <is>
          <t>Property &amp; Casualty</t>
        </is>
      </c>
      <c r="C87" t="inlineStr">
        <is>
          <t>Technology &amp; AI</t>
        </is>
      </c>
      <c r="D87" t="inlineStr">
        <is>
          <t>Global</t>
        </is>
      </c>
      <c r="E87" t="inlineStr">
        <is>
          <t>AI spending in P&amp;C insurance set to triple in 2026, but most carriers still aren't capturing value at scale</t>
        </is>
      </c>
      <c r="F87" t="inlineStr">
        <is>
          <t>Industry surveys show property-casualty insurers tripling AI's share of technology spending in 2026, yet only about 38% report generating value at scale from AI in core underwriting and claims workflows, even as consumer resistance to AI-driven quotes keeps falling.</t>
        </is>
      </c>
      <c r="G87" t="inlineStr">
        <is>
          <t>Insurity</t>
        </is>
      </c>
      <c r="H87" t="inlineStr">
        <is>
          <t>https://insurity.com/press-release/consumer-support-for-ai-in-p-c-insurance-nearly-doubles-in-2026-insurity-survey-finds/</t>
        </is>
      </c>
      <c r="I87" t="inlineStr">
        <is>
          <t>2026-08-05</t>
        </is>
      </c>
    </row>
    <row r="88">
      <c r="A88" t="inlineStr">
        <is>
          <t>2026-09-03</t>
        </is>
      </c>
      <c r="B88" t="inlineStr">
        <is>
          <t>Healthcare / Provider &amp; Clinical</t>
        </is>
      </c>
      <c r="C88" t="inlineStr">
        <is>
          <t>Regulatory &amp; Policy</t>
        </is>
      </c>
      <c r="D88" t="inlineStr">
        <is>
          <t>United States</t>
        </is>
      </c>
      <c r="E88" t="inlineStr">
        <is>
          <t>HHS seeks public input on accelerating AI adoption across clinical care</t>
        </is>
      </c>
      <c r="F88" t="inlineStr">
        <is>
          <t>The Department of Health and Human Services issued a broad request for information asking how federal regulatory, reimbursement, and research powers could be used to speed the adoption of AI tools in clinical settings.</t>
        </is>
      </c>
      <c r="G88" t="inlineStr">
        <is>
          <t>Chief Healthcare Executive</t>
        </is>
      </c>
      <c r="H88" t="inlineStr">
        <is>
          <t>https://www.chiefhealthcareexecutive.com/view/ai-in-health-care-26-leaders-offer-predictions-for-2026</t>
        </is>
      </c>
      <c r="I88" t="inlineStr">
        <is>
          <t>2026-08-10</t>
        </is>
      </c>
    </row>
    <row r="89">
      <c r="A89" t="inlineStr">
        <is>
          <t>2026-09-03</t>
        </is>
      </c>
      <c r="B89" t="inlineStr">
        <is>
          <t>Property &amp; Casualty</t>
        </is>
      </c>
      <c r="C89" t="inlineStr">
        <is>
          <t>M&amp;A</t>
        </is>
      </c>
      <c r="D89" t="inlineStr">
        <is>
          <t>United States</t>
        </is>
      </c>
      <c r="E89" t="inlineStr">
        <is>
          <t>Zurich and Farmers Exchanges to acquire MetLife's U.S. property and casualty business for $3.9 billion</t>
        </is>
      </c>
      <c r="F89" t="inlineStr">
        <is>
          <t>Zurich Insurance and the Farmers Exchanges agreed to buy MetLife's U.S. P&amp;C operations for roughly $3.9 billion, part of a broader wave of targeted, capital-efficient consolidation among carriers this year.</t>
        </is>
      </c>
      <c r="G89" t="inlineStr">
        <is>
          <t>GlobeNewswire</t>
        </is>
      </c>
      <c r="H89" t="inlineStr">
        <is>
          <t>https://www.globenewswire.com/news-release/2026/09/02/3355120/0/en/u-s-p-c-insurers-post-strong-underwriting-gains-through-first-half-of-2026-line-specific-and-geographic-challenges-persist.html</t>
        </is>
      </c>
      <c r="I89" t="inlineStr">
        <is>
          <t>2026-08-15</t>
        </is>
      </c>
    </row>
    <row r="90">
      <c r="A90" t="inlineStr">
        <is>
          <t>2026-09-03</t>
        </is>
      </c>
      <c r="B90" t="inlineStr">
        <is>
          <t>FinTech</t>
        </is>
      </c>
      <c r="C90" t="inlineStr">
        <is>
          <t>Investments &amp; Funding</t>
        </is>
      </c>
      <c r="D90" t="inlineStr">
        <is>
          <t>United States</t>
        </is>
      </c>
      <c r="E90" t="inlineStr">
        <is>
          <t>Tech-enabled E&amp;S managing general agent Aurenity lands growth investment from Great Hill Partners</t>
        </is>
      </c>
      <c r="F90" t="inlineStr">
        <is>
          <t>Aurenity, a Connecticut-based technology-enabled excess-and-surplus MGA, secured a strategic investment from private equity firm Great Hill Partners to widen its underwriting bench, launch new specialty programs, and build out automation infrastructure.</t>
        </is>
      </c>
      <c r="G90" t="inlineStr">
        <is>
          <t>FinTech Global</t>
        </is>
      </c>
      <c r="H90" t="inlineStr">
        <is>
          <t>https://fintech.global/2026/09/02/aurenity-secures-great-hill-investment-for-growth/</t>
        </is>
      </c>
      <c r="I90" t="inlineStr">
        <is>
          <t>2026-09-02</t>
        </is>
      </c>
    </row>
    <row r="91">
      <c r="A91" t="inlineStr">
        <is>
          <t>2026-09-03</t>
        </is>
      </c>
      <c r="B91" t="inlineStr">
        <is>
          <t>Brokers &amp; MGA/GA</t>
        </is>
      </c>
      <c r="C91" t="inlineStr">
        <is>
          <t>M&amp;A</t>
        </is>
      </c>
      <c r="D91" t="inlineStr">
        <is>
          <t>United Kingdom</t>
        </is>
      </c>
      <c r="E91" t="inlineStr">
        <is>
          <t>Caledon Group launches new MGA for complex UK and Ireland home insurance risks</t>
        </is>
      </c>
      <c r="F91" t="inlineStr">
        <is>
          <t>Caledon Group introduced Caledon MGA to write home insurance for unique, high-value, and non-standard household risks across the UK and Ireland, broadening its specialty property portfolio.</t>
        </is>
      </c>
      <c r="G91" t="inlineStr">
        <is>
          <t>Insurance Edge</t>
        </is>
      </c>
      <c r="H91" t="inlineStr">
        <is>
          <t>https://insurance-edge.net/2026/09/03/caledon-mga-launches-in-uk-and-ireland/</t>
        </is>
      </c>
      <c r="I91" t="inlineStr">
        <is>
          <t>2026-09-03</t>
        </is>
      </c>
    </row>
    <row r="92">
      <c r="A92" t="inlineStr">
        <is>
          <t>2026-09-03</t>
        </is>
      </c>
      <c r="B92" t="inlineStr">
        <is>
          <t>Brokers &amp; MGA/GA</t>
        </is>
      </c>
      <c r="C92" t="inlineStr">
        <is>
          <t>M&amp;A</t>
        </is>
      </c>
      <c r="D92" t="inlineStr">
        <is>
          <t>United Kingdom</t>
        </is>
      </c>
      <c r="E92" t="inlineStr">
        <is>
          <t>Avantia adds Accredited Insurance UK as new co-insurer on its Homeprotect platform</t>
        </is>
      </c>
      <c r="F92" t="inlineStr">
        <is>
          <t>Avantia Group, parent of specialist home insurer Homeprotect, added Accredited Insurance (UK) Limited as a co-insurance partner, expanding underwriting capacity on its digital home insurance platform.</t>
        </is>
      </c>
      <c r="G92" t="inlineStr">
        <is>
          <t>Insurance Edge</t>
        </is>
      </c>
      <c r="H92" t="inlineStr">
        <is>
          <t>https://insurance-edge.net/2026/09/03/avantia-working-closely-with-accredited-insurance-uk/</t>
        </is>
      </c>
      <c r="I92" t="inlineStr">
        <is>
          <t>2026-09-03</t>
        </is>
      </c>
    </row>
    <row r="93">
      <c r="A93" t="inlineStr">
        <is>
          <t>2026-09-04</t>
        </is>
      </c>
      <c r="B93" t="inlineStr">
        <is>
          <t>Insurtech</t>
        </is>
      </c>
      <c r="C93" t="inlineStr">
        <is>
          <t>Technology &amp; AI</t>
        </is>
      </c>
      <c r="D93" t="inlineStr">
        <is>
          <t>Global</t>
        </is>
      </c>
      <c r="E93" t="inlineStr">
        <is>
          <t>Zurich extends agentic AI underwriting platform toward more than 20 markets worldwide</t>
        </is>
      </c>
      <c r="F93" t="inlineStr">
        <is>
          <t>Zurich Insurance is scaling an AI risk-digitization platform built with insurtech Cytora to more than 20 countries over 16 months, after an initial five-country rollout cut manual submission triage time by roughly 80%, from 75 minutes to 15 minutes per case.</t>
        </is>
      </c>
      <c r="G93" t="inlineStr">
        <is>
          <t>Reinsurance News</t>
        </is>
      </c>
      <c r="H93" t="inlineStr">
        <is>
          <t>https://www.reinsurancene.ws/zurich-insurance-scales-cytora-ai-platform-across-global-underwriting-operations/</t>
        </is>
      </c>
      <c r="I93" t="inlineStr">
        <is>
          <t>2026-05-18</t>
        </is>
      </c>
    </row>
    <row r="94">
      <c r="A94" t="inlineStr">
        <is>
          <t>2026-09-04</t>
        </is>
      </c>
      <c r="B94" t="inlineStr">
        <is>
          <t>Insurtech</t>
        </is>
      </c>
      <c r="C94" t="inlineStr">
        <is>
          <t>Investments &amp; Funding</t>
        </is>
      </c>
      <c r="D94" t="inlineStr">
        <is>
          <t>UK/Europe</t>
        </is>
      </c>
      <c r="E94" t="inlineStr">
        <is>
          <t>French health insurtech Alan closes 480 million euro Series G at a 5.5 billion euro valuation</t>
        </is>
      </c>
      <c r="F94" t="inlineStr">
        <is>
          <t>Alan, the French digital health insurer and prevention platform, raised a 480 million euro Series G round led by Prosus, with participation from Index Ventures and Teachers' Venture Growth, just months after a prior 100 million euro round, as its annualized revenue passed 800 million euros.</t>
        </is>
      </c>
      <c r="G94" t="inlineStr">
        <is>
          <t>Sifted</t>
        </is>
      </c>
      <c r="H94" t="inlineStr">
        <is>
          <t>https://sifted.eu/articles/alan-prosus-raise-series-g-valuation-health-tech</t>
        </is>
      </c>
      <c r="I94" t="inlineStr">
        <is>
          <t>2026-06-25</t>
        </is>
      </c>
    </row>
    <row r="95">
      <c r="A95" t="inlineStr">
        <is>
          <t>2026-09-04</t>
        </is>
      </c>
      <c r="B95" t="inlineStr">
        <is>
          <t>Property &amp; Casualty</t>
        </is>
      </c>
      <c r="C95" t="inlineStr">
        <is>
          <t>People &amp; Leadership</t>
        </is>
      </c>
      <c r="D95" t="inlineStr">
        <is>
          <t>Global</t>
        </is>
      </c>
      <c r="E95" t="inlineStr">
        <is>
          <t>AIG hires AXA veteran Nancy Bewlay as global chief underwriting officer</t>
        </is>
      </c>
      <c r="F95" t="inlineStr">
        <is>
          <t>AIG named Nancy Bewlay, most recently AXA's group chief underwriting and pricing officer, as its new executive vice president and global chief underwriting officer effective September 8, bringing more than 30 years of underwriting leadership experience from AXA, Swiss Re and C.V. Starr.</t>
        </is>
      </c>
      <c r="G95" t="inlineStr">
        <is>
          <t>Insurance Business</t>
        </is>
      </c>
      <c r="H95" t="inlineStr">
        <is>
          <t>https://www.insurancebusinessmag.com/us/news/breaking-news/aig-names-nancy-bewlay-global-chief-underwriting-officer-580948.aspx</t>
        </is>
      </c>
      <c r="I95" t="inlineStr">
        <is>
          <t>2026-07-01</t>
        </is>
      </c>
    </row>
    <row r="96">
      <c r="A96" t="inlineStr">
        <is>
          <t>2026-09-04</t>
        </is>
      </c>
      <c r="B96" t="inlineStr">
        <is>
          <t>Property &amp; Casualty</t>
        </is>
      </c>
      <c r="C96" t="inlineStr">
        <is>
          <t>People &amp; Leadership</t>
        </is>
      </c>
      <c r="D96" t="inlineStr">
        <is>
          <t>Global</t>
        </is>
      </c>
      <c r="E96" t="inlineStr">
        <is>
          <t>Canopius taps BCG's Nadine Moore to lead its US specialty insurance business</t>
        </is>
      </c>
      <c r="F96" t="inlineStr">
        <is>
          <t>Lloyd's specialty insurer Canopius Group named Nadine Moore, formerly a managing director and senior partner at Boston Consulting Group, as CEO of its US business effective this September, succeeding Lisa Davis as the carrier scales its US retail and wholesale operations.</t>
        </is>
      </c>
      <c r="G96" t="inlineStr">
        <is>
          <t>Risk &amp; Insurance</t>
        </is>
      </c>
      <c r="H96" t="inlineStr">
        <is>
          <t>https://riskandinsurance.com/canopius-group-appoints-nadine-moore-ceo-of-us-business/</t>
        </is>
      </c>
      <c r="I96" t="inlineStr">
        <is>
          <t>2026-07-14</t>
        </is>
      </c>
    </row>
    <row r="97">
      <c r="A97" t="inlineStr">
        <is>
          <t>2026-09-04</t>
        </is>
      </c>
      <c r="B97" t="inlineStr">
        <is>
          <t>Investments</t>
        </is>
      </c>
      <c r="C97" t="inlineStr">
        <is>
          <t>Market Economics</t>
        </is>
      </c>
      <c r="D97" t="inlineStr">
        <is>
          <t>Global</t>
        </is>
      </c>
      <c r="E97" t="inlineStr">
        <is>
          <t>BlackRock's assets under management climb to $15.3 trillion in the second quarter</t>
        </is>
      </c>
      <c r="F97" t="inlineStr">
        <is>
          <t>BlackRock reported AUM of $15.3 trillion for Q2 2026, with net inflows of $192 billion in the quarter and $321 billion for the first half, driven by ETFs, private markets and systematic equity strategies.</t>
        </is>
      </c>
      <c r="G97" t="inlineStr">
        <is>
          <t>Private Banker International</t>
        </is>
      </c>
      <c r="H97" t="inlineStr">
        <is>
          <t>https://www.privatebankerinternational.com/news/blackrock-assets-under-management-q2-2026/</t>
        </is>
      </c>
      <c r="I97" t="inlineStr">
        <is>
          <t>2026-07-15</t>
        </is>
      </c>
    </row>
    <row r="98">
      <c r="A98" t="inlineStr">
        <is>
          <t>2026-09-04</t>
        </is>
      </c>
      <c r="B98" t="inlineStr">
        <is>
          <t>Investments</t>
        </is>
      </c>
      <c r="C98" t="inlineStr">
        <is>
          <t>Market Economics</t>
        </is>
      </c>
      <c r="D98" t="inlineStr">
        <is>
          <t>United States</t>
        </is>
      </c>
      <c r="E98" t="inlineStr">
        <is>
          <t>Selective Insurance's investment income jumps as reinvestment yields keep climbing</t>
        </is>
      </c>
      <c r="F98" t="inlineStr">
        <is>
          <t>Selective Insurance Group reported after-tax net investment income of $119 million for the second quarter, up 18% year-over-year, with its fixed-income portfolio yielding 4.4% as insurers keep benefiting from reinvesting maturing bonds at higher rates.</t>
        </is>
      </c>
      <c r="G98" t="inlineStr">
        <is>
          <t>SEC EDGAR / Selective Insurance Group</t>
        </is>
      </c>
      <c r="H98" t="inlineStr">
        <is>
          <t>https://www.sec.gov/Archives/edgar/data/0000230557/000023055726000018/q22026pressreleaseexh991.htm</t>
        </is>
      </c>
      <c r="I98" t="inlineStr">
        <is>
          <t>2026-07-24</t>
        </is>
      </c>
    </row>
    <row r="99">
      <c r="A99" t="inlineStr">
        <is>
          <t>2026-09-04</t>
        </is>
      </c>
      <c r="B99" t="inlineStr">
        <is>
          <t>Life &amp; Annuities</t>
        </is>
      </c>
      <c r="C99" t="inlineStr">
        <is>
          <t>Market Economics</t>
        </is>
      </c>
      <c r="D99" t="inlineStr">
        <is>
          <t>United States</t>
        </is>
      </c>
      <c r="E99" t="inlineStr">
        <is>
          <t>LIMRA reports steady Q2 growth in life insurance sales, led by whole life and variable universal life</t>
        </is>
      </c>
      <c r="F99" t="inlineStr">
        <is>
          <t>LIMRA's Q2 2026 individual life insurance survey found total new premium rose 3% year-over-year to $4.75 billion, with whole life climbing 9% to become the largest driver of growth and variable universal life posting the fastest growth rate at 13%, aided by a rebound in equity markets.</t>
        </is>
      </c>
      <c r="G99" t="inlineStr">
        <is>
          <t>LIMRA</t>
        </is>
      </c>
      <c r="H99" t="inlineStr">
        <is>
          <t>https://www.limra.com/en/newsroom/news-releases/2026/limra-u.s.-individual-life-insurance-sales-continue-growth-trend-in-the-second-quarter-led-by-whole-life-and-vul/</t>
        </is>
      </c>
      <c r="I99" t="inlineStr">
        <is>
          <t>2026-08-01</t>
        </is>
      </c>
    </row>
    <row r="100">
      <c r="A100" t="inlineStr">
        <is>
          <t>2026-09-04</t>
        </is>
      </c>
      <c r="B100" t="inlineStr">
        <is>
          <t>TPA</t>
        </is>
      </c>
      <c r="C100" t="inlineStr">
        <is>
          <t>People &amp; Leadership</t>
        </is>
      </c>
      <c r="D100" t="inlineStr">
        <is>
          <t>United States</t>
        </is>
      </c>
      <c r="E100" t="inlineStr">
        <is>
          <t>Health Care Administrators Association names its 2026-2027 board of directors</t>
        </is>
      </c>
      <c r="F100" t="inlineStr">
        <is>
          <t>The HCAA, a trade group for self-funded health plan third-party administrators, appointed its board and officers for the 2026-2027 term, naming Professional Benefit Administrators' Jeff Walter as president to lead advocacy and education efforts for the self-funding industry.</t>
        </is>
      </c>
      <c r="G100" t="inlineStr">
        <is>
          <t>HCAA / Yahoo Finance</t>
        </is>
      </c>
      <c r="H100" t="inlineStr">
        <is>
          <t>https://finance.yahoo.com/healthcare/articles/health-care-administrators-association-hcaa-140000839.html</t>
        </is>
      </c>
      <c r="I100" t="inlineStr">
        <is>
          <t>2026-08-04</t>
        </is>
      </c>
    </row>
    <row r="101">
      <c r="A101" t="inlineStr">
        <is>
          <t>2026-09-04</t>
        </is>
      </c>
      <c r="B101" t="inlineStr">
        <is>
          <t>Wealth Management</t>
        </is>
      </c>
      <c r="C101" t="inlineStr">
        <is>
          <t>Technology &amp; AI</t>
        </is>
      </c>
      <c r="D101" t="inlineStr">
        <is>
          <t>United States</t>
        </is>
      </c>
      <c r="E101" t="inlineStr">
        <is>
          <t>Hightower taps data infrastructure startup Dispatch to unify records across its advisory network</t>
        </is>
      </c>
      <c r="F101" t="inlineStr">
        <is>
          <t>Hightower Advisors selected fintech Dispatch to synchronize client data across custodians for its Hightower Signature Wealth channel, which has scaled to roughly $35 billion in assets across 30 locations as the firm consolidates breakaway advisor teams.</t>
        </is>
      </c>
      <c r="G101" t="inlineStr">
        <is>
          <t>InvestmentNews</t>
        </is>
      </c>
      <c r="H101" t="inlineStr">
        <is>
          <t>https://www.investmentnews.com/ria-news/hightower-taps-dispatch-to-unify-client-data-across-signature-wealth-platform/268018</t>
        </is>
      </c>
      <c r="I101" t="inlineStr">
        <is>
          <t>2026-08-15</t>
        </is>
      </c>
    </row>
    <row r="102">
      <c r="A102" t="inlineStr">
        <is>
          <t>2026-09-04</t>
        </is>
      </c>
      <c r="B102" t="inlineStr">
        <is>
          <t>Wealth Management</t>
        </is>
      </c>
      <c r="C102" t="inlineStr">
        <is>
          <t>M&amp;A</t>
        </is>
      </c>
      <c r="D102" t="inlineStr">
        <is>
          <t>United States</t>
        </is>
      </c>
      <c r="E102" t="inlineStr">
        <is>
          <t>Vanguard deepens its push into financial advice with deal to acquire digital RIA platform Altruist</t>
        </is>
      </c>
      <c r="F102" t="inlineStr">
        <is>
          <t>Vanguard, under CEO Salim Ramji, is moving further into financial advice through an agreement to acquire Altruist, seen as an attempt to reshape the RIA custody and advice landscape, though analysts say winning over independent advisors may prove challenging.</t>
        </is>
      </c>
      <c r="G102" t="inlineStr">
        <is>
          <t>WealthManagement.com</t>
        </is>
      </c>
      <c r="H102" t="inlineStr">
        <is>
          <t>https://www.wealthmanagement.com/ria-news/can-the-vanguard-effect-upend-wealth-management-</t>
        </is>
      </c>
      <c r="I102" t="inlineStr">
        <is>
          <t>2026-08-15</t>
        </is>
      </c>
    </row>
    <row r="103">
      <c r="A103" t="inlineStr">
        <is>
          <t>2026-09-04</t>
        </is>
      </c>
      <c r="B103" t="inlineStr">
        <is>
          <t>Brokers &amp; MGA/GA</t>
        </is>
      </c>
      <c r="C103" t="inlineStr">
        <is>
          <t>M&amp;A</t>
        </is>
      </c>
      <c r="D103" t="inlineStr">
        <is>
          <t>United States</t>
        </is>
      </c>
      <c r="E103" t="inlineStr">
        <is>
          <t>Aon agrees to buy broker USI from KKR in roughly $17 billion deal</t>
        </is>
      </c>
      <c r="F103" t="inlineStr">
        <is>
          <t>Aon announced it will acquire USI Insurance Services, the tenth-largest US insurance broker with about $3 billion in annual revenue, from private equity owner KKR for approximately $17 billion in cash, extending Aon's push into the US middle market following its 2024 purchase of NFP.</t>
        </is>
      </c>
      <c r="G103" t="inlineStr">
        <is>
          <t>Axios</t>
        </is>
      </c>
      <c r="H103" t="inlineStr">
        <is>
          <t>https://www.axios.com/2026/08/31/aon-17-billion-usi-kkr</t>
        </is>
      </c>
      <c r="I103" t="inlineStr">
        <is>
          <t>2026-08-31</t>
        </is>
      </c>
    </row>
    <row r="104">
      <c r="A104" t="inlineStr">
        <is>
          <t>2026-09-04</t>
        </is>
      </c>
      <c r="B104" t="inlineStr">
        <is>
          <t>Healthcare / Provider &amp; Clinical</t>
        </is>
      </c>
      <c r="C104" t="inlineStr">
        <is>
          <t>Technology &amp; AI</t>
        </is>
      </c>
      <c r="D104" t="inlineStr">
        <is>
          <t>UK/Europe</t>
        </is>
      </c>
      <c r="E104" t="inlineStr">
        <is>
          <t>London NHS trust performs world-first AI-assisted brain surgery</t>
        </is>
      </c>
      <c r="F104" t="inlineStr">
        <is>
          <t>University College London Hospitals NHS Foundation Trust says it carried out the world's first brain operation guided by real-time AI analysis of the surgical video feed, helping the surgical team identify critical structures while removing a pituitary tumor from a 48-year-old patient.</t>
        </is>
      </c>
      <c r="G104" t="inlineStr">
        <is>
          <t>PublicTechnology</t>
        </is>
      </c>
      <c r="H104" t="inlineStr">
        <is>
          <t>https://www.publictechnology.net/2026/09/01/health-and-social-care/nhs-hospital-claims-world-first-ai-assisted-brain-surgery/</t>
        </is>
      </c>
      <c r="I104" t="inlineStr">
        <is>
          <t>2026-09-01</t>
        </is>
      </c>
    </row>
    <row r="105">
      <c r="A105" t="inlineStr">
        <is>
          <t>2026-09-04</t>
        </is>
      </c>
      <c r="B105" t="inlineStr">
        <is>
          <t>Retirement</t>
        </is>
      </c>
      <c r="C105" t="inlineStr">
        <is>
          <t>Regulatory &amp; Policy</t>
        </is>
      </c>
      <c r="D105" t="inlineStr">
        <is>
          <t>United States</t>
        </is>
      </c>
      <c r="E105" t="inlineStr">
        <is>
          <t>Federal guidance tightens expectations for retirement plan recordkeeping accuracy</t>
        </is>
      </c>
      <c r="F105" t="inlineStr">
        <is>
          <t>A roundup of federal retirement rules highlights sharpened recordkeeping and reporting expectations for plan sponsors and administrators, part of continued fallout from SECURE 2.0 implementation as agencies push for more reliable participant data.</t>
        </is>
      </c>
      <c r="G105" t="inlineStr">
        <is>
          <t>Government Executive</t>
        </is>
      </c>
      <c r="H105" t="inlineStr">
        <is>
          <t>https://www.govexec.com/pay-benefits/2026/09/reliable-rules-your-retirement-recordkeeping/415800/</t>
        </is>
      </c>
      <c r="I105" t="inlineStr">
        <is>
          <t>2026-09-01</t>
        </is>
      </c>
    </row>
    <row r="106">
      <c r="A106" t="inlineStr">
        <is>
          <t>2026-09-04</t>
        </is>
      </c>
      <c r="B106" t="inlineStr">
        <is>
          <t>Wealth Management</t>
        </is>
      </c>
      <c r="C106" t="inlineStr">
        <is>
          <t>M&amp;A</t>
        </is>
      </c>
      <c r="D106" t="inlineStr">
        <is>
          <t>United States</t>
        </is>
      </c>
      <c r="E106" t="inlineStr">
        <is>
          <t>Wealth Enhancement adds Virginia RIA in its third second-half deal of the year</t>
        </is>
      </c>
      <c r="F106" t="inlineStr">
        <is>
          <t>Minneapolis-based consolidator Wealth Enhancement acquired the investment advisory business of Dickerson Jackson &amp; Associates, a hybrid RIA in Glen Allen, Virginia managing about $376 million in client assets, continuing its acquisitive pace into the second half of 2026.</t>
        </is>
      </c>
      <c r="G106" t="inlineStr">
        <is>
          <t>Financial Advisor magazine</t>
        </is>
      </c>
      <c r="H106" t="inlineStr">
        <is>
          <t>https://www.fa-mag.com/news/wealth-enhancement-buys-virginia-ria-with--376m-88309.html</t>
        </is>
      </c>
      <c r="I106" t="inlineStr">
        <is>
          <t>2026-09-01</t>
        </is>
      </c>
    </row>
    <row r="107">
      <c r="A107" t="inlineStr">
        <is>
          <t>2026-09-04</t>
        </is>
      </c>
      <c r="B107" t="inlineStr">
        <is>
          <t>Health Insurance / Payer</t>
        </is>
      </c>
      <c r="C107" t="inlineStr">
        <is>
          <t>People &amp; Leadership</t>
        </is>
      </c>
      <c r="D107" t="inlineStr">
        <is>
          <t>United States</t>
        </is>
      </c>
      <c r="E107" t="inlineStr">
        <is>
          <t>Medicare Advantage industry gathers in San Diego for RISE West as plans prep for 2027</t>
        </is>
      </c>
      <c r="F107" t="inlineStr">
        <is>
          <t>More than 500 health plan executives, providers and policy experts convened at RISE West 2026 in San Diego from September 2-4 to focus on Medicare Advantage risk adjustment, quality performance, AI implementation and operational strategy ahead of 2027 bids.</t>
        </is>
      </c>
      <c r="G107" t="inlineStr">
        <is>
          <t>HealthExec</t>
        </is>
      </c>
      <c r="H107" t="inlineStr">
        <is>
          <t>https://healthexec.com/press-release/rise-west-2026-convene-medicare-advantage-leaders-san-diego-sept-2-4</t>
        </is>
      </c>
      <c r="I107" t="inlineStr">
        <is>
          <t>2026-09-02</t>
        </is>
      </c>
    </row>
    <row r="108">
      <c r="A108" t="inlineStr">
        <is>
          <t>2026-09-05</t>
        </is>
      </c>
      <c r="B108" t="inlineStr">
        <is>
          <t>Investments</t>
        </is>
      </c>
      <c r="C108" t="inlineStr">
        <is>
          <t>Market Economics</t>
        </is>
      </c>
      <c r="D108" t="inlineStr">
        <is>
          <t>Global</t>
        </is>
      </c>
      <c r="E108" t="inlineStr">
        <is>
          <t>Swiss Re projects global insurance premium growth will slow sharply to 1.3% in 2026</t>
        </is>
      </c>
      <c r="F108" t="inlineStr">
        <is>
          <t>Swiss Re Institute's latest World Insurance sigma report projects global real premium growth slowing to about 1.3% in 2026 from 3.9% in 2025, with non-life growth nearly flat as pricing competition intensifies and life premiums outperforming the long-term trend.</t>
        </is>
      </c>
      <c r="G108" t="inlineStr">
        <is>
          <t>Swiss Re Institute</t>
        </is>
      </c>
      <c r="H108" t="inlineStr">
        <is>
          <t>https://www.swissre.com/institute/research/sigma-research/sigma-2026-07-world-insurance.html</t>
        </is>
      </c>
      <c r="I108" t="inlineStr">
        <is>
          <t>2026-07-08</t>
        </is>
      </c>
    </row>
    <row r="109">
      <c r="A109" t="inlineStr">
        <is>
          <t>2026-09-05</t>
        </is>
      </c>
      <c r="B109" t="inlineStr">
        <is>
          <t>Insurtech</t>
        </is>
      </c>
      <c r="C109" t="inlineStr">
        <is>
          <t>Investments &amp; Funding</t>
        </is>
      </c>
      <c r="D109" t="inlineStr">
        <is>
          <t>Global</t>
        </is>
      </c>
      <c r="E109" t="inlineStr">
        <is>
          <t>Insurtech funding accelerates in 2026 as AI-focused deals dominate</t>
        </is>
      </c>
      <c r="F109" t="inlineStr">
        <is>
          <t>Insurtech funding accelerated sharply in 2026, with digital insurance brokers capturing roughly three-quarters of year-to-date funding; CB Insights data shows Q1 2026 alone saw about $1.63 billion raised, with 95% of that flowing to AI-focused companies.</t>
        </is>
      </c>
      <c r="G109" t="inlineStr">
        <is>
          <t>CB Insights</t>
        </is>
      </c>
      <c r="H109" t="inlineStr">
        <is>
          <t>https://www.cbinsights.com/research/report/insurtech-trends-q2-2026/</t>
        </is>
      </c>
      <c r="I109" t="inlineStr">
        <is>
          <t>2026-07-15</t>
        </is>
      </c>
    </row>
    <row r="110">
      <c r="A110" t="inlineStr">
        <is>
          <t>2026-09-05</t>
        </is>
      </c>
      <c r="B110" t="inlineStr">
        <is>
          <t>Brokers &amp; MGA/GA</t>
        </is>
      </c>
      <c r="C110" t="inlineStr">
        <is>
          <t>M&amp;A</t>
        </is>
      </c>
      <c r="D110" t="inlineStr">
        <is>
          <t>United States</t>
        </is>
      </c>
      <c r="E110" t="inlineStr">
        <is>
          <t>Mapfre to acquire Safety Insurance Group in a $1.54 billion all-cash deal</t>
        </is>
      </c>
      <c r="F110" t="inlineStr">
        <is>
          <t>Massachusetts-based Safety Insurance agreed to be acquired by an affiliate of Spain's Mapfre for about $1.54 billion, or $105 per share in cash, after Safety reported second-quarter net income of $34.5 million.</t>
        </is>
      </c>
      <c r="G110" t="inlineStr">
        <is>
          <t>SEC EDGAR (Safety Insurance Group filing)</t>
        </is>
      </c>
      <c r="H110" t="inlineStr">
        <is>
          <t>https://www.sec.gov/Archives/edgar/data/0001172052/000117205226000021/saft-20260805xex99d1.htm</t>
        </is>
      </c>
      <c r="I110" t="inlineStr">
        <is>
          <t>2026-07-23</t>
        </is>
      </c>
    </row>
    <row r="111">
      <c r="A111" t="inlineStr">
        <is>
          <t>2026-09-05</t>
        </is>
      </c>
      <c r="B111" t="inlineStr">
        <is>
          <t>Life &amp; Annuities</t>
        </is>
      </c>
      <c r="C111" t="inlineStr">
        <is>
          <t>Market Economics</t>
        </is>
      </c>
      <c r="D111" t="inlineStr">
        <is>
          <t>United States</t>
        </is>
      </c>
      <c r="E111" t="inlineStr">
        <is>
          <t>US annuity sales set a new quarterly record of $123.9 billion in Q2 2026</t>
        </is>
      </c>
      <c r="F111" t="inlineStr">
        <is>
          <t>LIMRA reports total US annuity sales rose 4% year-over-year to a record $123.9 billion in the second quarter of 2026, the eleventh straight quarter above $100 billion, with registered index-linked annuities also setting a quarterly record at $23.3 billion.</t>
        </is>
      </c>
      <c r="G111" t="inlineStr">
        <is>
          <t>LIMRA</t>
        </is>
      </c>
      <c r="H111" t="inlineStr">
        <is>
          <t>https://www.limra.com/en/newsroom/news-releases/2026/limra-u.s.-annuity-sales-set-new-quarterly-record-totaling-$123.9-billion-in-the-second-quarter-of-2026/</t>
        </is>
      </c>
      <c r="I111" t="inlineStr">
        <is>
          <t>2026-08-12</t>
        </is>
      </c>
    </row>
    <row r="112">
      <c r="A112" t="inlineStr">
        <is>
          <t>2026-09-05</t>
        </is>
      </c>
      <c r="B112" t="inlineStr">
        <is>
          <t>Life &amp; Annuities</t>
        </is>
      </c>
      <c r="C112" t="inlineStr">
        <is>
          <t>Market Economics</t>
        </is>
      </c>
      <c r="D112" t="inlineStr">
        <is>
          <t>United States</t>
        </is>
      </c>
      <c r="E112" t="inlineStr">
        <is>
          <t>US individual life insurance sales grow 3% in Q2 2026 as variable universal life leads</t>
        </is>
      </c>
      <c r="F112" t="inlineStr">
        <is>
          <t>Individual life insurance new annualized premium rose 3% year-over-year in the second quarter of 2026, with variable universal life posting the sharpest growth (up 11% to $800 million) and simplified-issue and final-expense products seeing double-digit policy-count growth among lower- and middle-income buyers.</t>
        </is>
      </c>
      <c r="G112" t="inlineStr">
        <is>
          <t>IA Magazine</t>
        </is>
      </c>
      <c r="H112" t="inlineStr">
        <is>
          <t>https://www.iamagazine.com/2026/08/17/how-record-setting-sales-and-innovation-are-fueling-life-insurance-growth/</t>
        </is>
      </c>
      <c r="I112" t="inlineStr">
        <is>
          <t>2026-08-17</t>
        </is>
      </c>
    </row>
    <row r="113">
      <c r="A113" t="inlineStr">
        <is>
          <t>2026-09-05</t>
        </is>
      </c>
      <c r="B113" t="inlineStr">
        <is>
          <t>Property &amp; Casualty</t>
        </is>
      </c>
      <c r="C113" t="inlineStr">
        <is>
          <t>Investments &amp; Funding</t>
        </is>
      </c>
      <c r="D113" t="inlineStr">
        <is>
          <t>Global</t>
        </is>
      </c>
      <c r="E113" t="inlineStr">
        <is>
          <t>Catastrophe bond market on pace for a second straight year above $20 billion in issuance</t>
        </is>
      </c>
      <c r="F113" t="inlineStr">
        <is>
          <t>Cat bond spreads tightened through the summer as issuance accelerated; Aon Securities projects full-year 2026 volume will again top $20 billion, with insurers like Mangrove Property Insurance securing record reinsurance and cat-bond coverage ahead of the Atlantic hurricane season.</t>
        </is>
      </c>
      <c r="G113" t="inlineStr">
        <is>
          <t>Artemis.bm</t>
        </is>
      </c>
      <c r="H113" t="inlineStr">
        <is>
          <t>https://www.artemis.bm/news/mangrove-secures-record-catastrophe-reinsurance-cover-for-2026-hurricane-season/</t>
        </is>
      </c>
      <c r="I113" t="inlineStr">
        <is>
          <t>2026-08-18</t>
        </is>
      </c>
    </row>
    <row r="114">
      <c r="A114" t="inlineStr">
        <is>
          <t>2026-09-05</t>
        </is>
      </c>
      <c r="B114" t="inlineStr">
        <is>
          <t>Investments</t>
        </is>
      </c>
      <c r="C114" t="inlineStr">
        <is>
          <t>Technology &amp; AI</t>
        </is>
      </c>
      <c r="D114" t="inlineStr">
        <is>
          <t>Global</t>
        </is>
      </c>
      <c r="E114" t="inlineStr">
        <is>
          <t>Swiss Re Institute: $750 billion AI investment boom is reshaping the insurance risk landscape</t>
        </is>
      </c>
      <c r="F114" t="inlineStr">
        <is>
          <t>Swiss Re Institute says a roughly $750 billion boom in AI-related capital investment, layered on top of geopolitical fragmentation, is reshaping the risks insurers must underwrite and the opportunities available to their investment portfolios.</t>
        </is>
      </c>
      <c r="G114" t="inlineStr">
        <is>
          <t>Swiss Re</t>
        </is>
      </c>
      <c r="H114" t="inlineStr">
        <is>
          <t>https://www.swissre.com/press-release/USD-750-billion-AI-investment-boom-and-geopolitical-fragmentation-reshape-insurance-landscape-says-Swiss-Re-Institute/a615185d-97e1-4b52-a6df-a614257d8b2b</t>
        </is>
      </c>
      <c r="I114" t="inlineStr">
        <is>
          <t>2026-08-20</t>
        </is>
      </c>
    </row>
    <row r="115">
      <c r="A115" t="inlineStr">
        <is>
          <t>2026-09-05</t>
        </is>
      </c>
      <c r="B115" t="inlineStr">
        <is>
          <t>Insurtech</t>
        </is>
      </c>
      <c r="C115" t="inlineStr">
        <is>
          <t>Regulatory &amp; Policy</t>
        </is>
      </c>
      <c r="D115" t="inlineStr">
        <is>
          <t>APAC</t>
        </is>
      </c>
      <c r="E115" t="inlineStr">
        <is>
          <t>China tightens algorithm-governance expectations for AI-driven insurance pricing and claims</t>
        </is>
      </c>
      <c r="F115" t="inlineStr">
        <is>
          <t>Chinese regulators are pushing insurers toward "algorithm governance," requiring that AI-driven pricing and underwriting models be transparent, explainable, and free of discriminatory bias, while barring insurers from offloading core management responsibility to third-party tech vendors.</t>
        </is>
      </c>
      <c r="G115" t="inlineStr">
        <is>
          <t>InsuranceIndustry.ai</t>
        </is>
      </c>
      <c r="H115" t="inlineStr">
        <is>
          <t>https://insuranceindustry.ai/six-regulators-six-answers-the-ai-insurance-governance-map-nobodys-drawn/</t>
        </is>
      </c>
      <c r="I115" t="inlineStr">
        <is>
          <t>2026-08-25</t>
        </is>
      </c>
    </row>
    <row r="116">
      <c r="A116" t="inlineStr">
        <is>
          <t>2026-09-05</t>
        </is>
      </c>
      <c r="B116" t="inlineStr">
        <is>
          <t>Wealth Management</t>
        </is>
      </c>
      <c r="C116" t="inlineStr">
        <is>
          <t>Investments &amp; Funding</t>
        </is>
      </c>
      <c r="D116" t="inlineStr">
        <is>
          <t>India</t>
        </is>
      </c>
      <c r="E116" t="inlineStr">
        <is>
          <t>India's wealth management market on track to grow past $436 billion by 2034</t>
        </is>
      </c>
      <c r="F116" t="inlineStr">
        <is>
          <t>A new market report projects India's wealth management industry will grow at roughly a 10.6% annual rate through 2034, driven by a fast-growing high-net-worth population and a continued shift from physical to financial assets.</t>
        </is>
      </c>
      <c r="G116" t="inlineStr">
        <is>
          <t>openPR (market report)</t>
        </is>
      </c>
      <c r="H116" t="inlineStr">
        <is>
          <t>https://www.openpr.com/news/4602513/india-wealth-management-market-report-2026-2034-size-share</t>
        </is>
      </c>
      <c r="I116" t="inlineStr">
        <is>
          <t>2026-08-30</t>
        </is>
      </c>
    </row>
    <row r="117">
      <c r="A117" t="inlineStr">
        <is>
          <t>2026-09-05</t>
        </is>
      </c>
      <c r="B117" t="inlineStr">
        <is>
          <t>Brokers &amp; MGA/GA</t>
        </is>
      </c>
      <c r="C117" t="inlineStr">
        <is>
          <t>M&amp;A</t>
        </is>
      </c>
      <c r="D117" t="inlineStr">
        <is>
          <t>United States</t>
        </is>
      </c>
      <c r="E117" t="inlineStr">
        <is>
          <t>Aon to acquire USI Insurance Services for $17 billion, forming a top US middle-market broker</t>
        </is>
      </c>
      <c r="F117" t="inlineStr">
        <is>
          <t>Aon signed a definitive agreement to buy USI Insurance Services from KKR for $17.0 billion, aiming to build the leading platform in the US middle-market segment; the deal is expected to close in the fourth quarter of 2026 and follows Aon's 2024 acquisition of NFP.</t>
        </is>
      </c>
      <c r="G117" t="inlineStr">
        <is>
          <t>Aon</t>
        </is>
      </c>
      <c r="H117" t="inlineStr">
        <is>
          <t>https://aon.mediaroom.com/2026-08-31-Aon-to-acquire-USI-to-establish-the-premier-U-S-middle-market-platform</t>
        </is>
      </c>
      <c r="I117" t="inlineStr">
        <is>
          <t>2026-08-31</t>
        </is>
      </c>
    </row>
    <row r="118">
      <c r="A118" t="inlineStr">
        <is>
          <t>2026-09-05</t>
        </is>
      </c>
      <c r="B118" t="inlineStr">
        <is>
          <t>Retirement</t>
        </is>
      </c>
      <c r="C118" t="inlineStr">
        <is>
          <t>Regulatory &amp; Policy</t>
        </is>
      </c>
      <c r="D118" t="inlineStr">
        <is>
          <t>UK/Europe</t>
        </is>
      </c>
      <c r="E118" t="inlineStr">
        <is>
          <t>EU Council extends EIOPA chair Petra Hielkema's mandate for a second five-year term</t>
        </is>
      </c>
      <c r="F118" t="inlineStr">
        <is>
          <t>The Council of the European Union extended Petra Hielkema's term as chairperson of the European Insurance and Occupational Pensions Authority for a second five-year term beginning September 1, 2026, following a positive performance review from EIOPA's Board of Supervisors.</t>
        </is>
      </c>
      <c r="G118" t="inlineStr">
        <is>
          <t>EIOPA</t>
        </is>
      </c>
      <c r="H118" t="inlineStr">
        <is>
          <t>https://www.eiopa.europa.eu/council-eu-extends-term-office-eiopa-chairperson-petra-hielkema-2026-04-10_en</t>
        </is>
      </c>
      <c r="I118" t="inlineStr">
        <is>
          <t>2026-09-01</t>
        </is>
      </c>
    </row>
    <row r="119">
      <c r="A119" t="inlineStr">
        <is>
          <t>2026-09-05</t>
        </is>
      </c>
      <c r="B119" t="inlineStr">
        <is>
          <t>Healthcare / Provider &amp; Clinical</t>
        </is>
      </c>
      <c r="C119" t="inlineStr">
        <is>
          <t>Market Economics</t>
        </is>
      </c>
      <c r="D119" t="inlineStr">
        <is>
          <t>UK/Europe</t>
        </is>
      </c>
      <c r="E119" t="inlineStr">
        <is>
          <t>Barts Health expands free NHS cholesterol testing to 100 more community pharmacies</t>
        </is>
      </c>
      <c r="F119" t="inlineStr">
        <is>
          <t>Following a successful pilot, Barts Health NHS Trust is expanding free cardiovascular and cholesterol testing to up to 100 additional community pharmacies across England, part of a broader push to catch heart-disease risk earlier outside hospital settings.</t>
        </is>
      </c>
      <c r="G119" t="inlineStr">
        <is>
          <t>Barts Health NHS Trust</t>
        </is>
      </c>
      <c r="H119" t="inlineStr">
        <is>
          <t>https://www.bartshealth.nhs.uk/news</t>
        </is>
      </c>
      <c r="I119" t="inlineStr">
        <is>
          <t>2026-09-02</t>
        </is>
      </c>
    </row>
    <row r="120">
      <c r="A120" t="inlineStr">
        <is>
          <t>2026-09-05</t>
        </is>
      </c>
      <c r="B120" t="inlineStr">
        <is>
          <t>Healthcare / Provider &amp; Clinical</t>
        </is>
      </c>
      <c r="C120" t="inlineStr">
        <is>
          <t>Technology &amp; AI</t>
        </is>
      </c>
      <c r="D120" t="inlineStr">
        <is>
          <t>UK/Europe</t>
        </is>
      </c>
      <c r="E120" t="inlineStr">
        <is>
          <t>UCLH study: many breast-cancer survivors can safely stop heart-protective medication</t>
        </is>
      </c>
      <c r="F120" t="inlineStr">
        <is>
          <t>A study by UCLH, UCL, and Barts Health NHS Trust, presented at the European Society of Cardiology Congress in Munich on September 2, 2026, found that many breast-cancer survivors whose treatment affected heart function can safely stop related medication once their heart recovers, avoiding indefinite treatment.</t>
        </is>
      </c>
      <c r="G120" t="inlineStr">
        <is>
          <t>UCLH</t>
        </is>
      </c>
      <c r="H120" t="inlineStr">
        <is>
          <t>https://www.uclh.nhs.uk/news</t>
        </is>
      </c>
      <c r="I120" t="inlineStr">
        <is>
          <t>2026-09-02</t>
        </is>
      </c>
    </row>
    <row r="121">
      <c r="A121" t="inlineStr">
        <is>
          <t>2026-09-05</t>
        </is>
      </c>
      <c r="B121" t="inlineStr">
        <is>
          <t>Property &amp; Casualty</t>
        </is>
      </c>
      <c r="C121" t="inlineStr">
        <is>
          <t>Market Economics</t>
        </is>
      </c>
      <c r="D121" t="inlineStr">
        <is>
          <t>United States</t>
        </is>
      </c>
      <c r="E121" t="inlineStr">
        <is>
          <t>Casualty lines stay under pressure from "nuclear verdicts" even as property pricing softens</t>
        </is>
      </c>
      <c r="F121" t="inlineStr">
        <is>
          <t>While property insurance pricing eased in the first half of 2026, casualty lines including excess liability, umbrella, and commercial auto remained strained by rising claim severity, large jury verdicts, and medical cost inflation, per the same Verisk/APCIA underwriting report.</t>
        </is>
      </c>
      <c r="G121" t="inlineStr">
        <is>
          <t>Business Insurance</t>
        </is>
      </c>
      <c r="H121" t="inlineStr">
        <is>
          <t>https://www.businessinsurance.com/h1-property-casualty-net-underwriting-gain-up-sharply-verisk-apcia/</t>
        </is>
      </c>
      <c r="I121" t="inlineStr">
        <is>
          <t>2026-09-02</t>
        </is>
      </c>
    </row>
    <row r="122">
      <c r="A122" t="inlineStr">
        <is>
          <t>2026-09-05</t>
        </is>
      </c>
      <c r="B122" t="inlineStr">
        <is>
          <t>Wealth Management</t>
        </is>
      </c>
      <c r="C122" t="inlineStr">
        <is>
          <t>Technology &amp; AI</t>
        </is>
      </c>
      <c r="D122" t="inlineStr">
        <is>
          <t>United States</t>
        </is>
      </c>
      <c r="E122" t="inlineStr">
        <is>
          <t>WealthAi extends its AI "operating system" to independent advisers</t>
        </is>
      </c>
      <c r="F122" t="inlineStr">
        <is>
          <t>WealthAi launched a version of its AI platform aimed at independent and smaller advisory firms, bundling meeting notes, client management, document generation, and compliance into one system; beta trial firms reportedly cut routine client-administration time by 60%.</t>
        </is>
      </c>
      <c r="G122" t="inlineStr">
        <is>
          <t>FinTech Global</t>
        </is>
      </c>
      <c r="H122" t="inlineStr">
        <is>
          <t>https://fintech.global/2026/09/03/wealthai-launches-ai-platform-for-independent-advisers/</t>
        </is>
      </c>
      <c r="I122" t="inlineStr">
        <is>
          <t>2026-09-03</t>
        </is>
      </c>
    </row>
    <row r="123">
      <c r="A123" t="inlineStr">
        <is>
          <t>2026-09-06</t>
        </is>
      </c>
      <c r="B123" t="inlineStr">
        <is>
          <t>Brokers &amp; MGA/GA</t>
        </is>
      </c>
      <c r="C123" t="inlineStr">
        <is>
          <t>M&amp;A</t>
        </is>
      </c>
      <c r="D123" t="inlineStr">
        <is>
          <t>United States</t>
        </is>
      </c>
      <c r="E123" t="inlineStr">
        <is>
          <t>ANV Group acquires wholesale workers' comp specialist Associated Specialty Insurance Agency</t>
        </is>
      </c>
      <c r="F123" t="inlineStr">
        <is>
          <t>Global insurance intermediary platform ANV Group completed its acquisition of Associated Specialty Insurance Agency, a Pennsylvania-based wholesale commercial agency focused on workers' compensation coverage.</t>
        </is>
      </c>
      <c r="G123" t="inlineStr">
        <is>
          <t>Morningstar</t>
        </is>
      </c>
      <c r="H123" t="inlineStr">
        <is>
          <t>https://www.morningstar.com/news/business-wire/20260608606517/anv-acquires-associated-specialty-insurance-agency</t>
        </is>
      </c>
      <c r="I123" t="inlineStr">
        <is>
          <t>2026-06-08</t>
        </is>
      </c>
    </row>
    <row r="124">
      <c r="A124" t="inlineStr">
        <is>
          <t>2026-09-06</t>
        </is>
      </c>
      <c r="B124" t="inlineStr">
        <is>
          <t>TPA</t>
        </is>
      </c>
      <c r="C124" t="inlineStr">
        <is>
          <t>Regulatory &amp; Policy</t>
        </is>
      </c>
      <c r="D124" t="inlineStr">
        <is>
          <t>United States</t>
        </is>
      </c>
      <c r="E124" t="inlineStr">
        <is>
          <t>Congress enacts sweeping PBM reform, reshaping disclosure duties for TPAs and self-funded plans</t>
        </is>
      </c>
      <c r="F124" t="inlineStr">
        <is>
          <t>New federal pharmacy-benefit-manager reform enacted in early 2026 brings fresh compliance and disclosure obligations for PBMs and third-party administrators working with ERISA self-funded group health plans, employment-law advisors say.</t>
        </is>
      </c>
      <c r="G124" t="inlineStr">
        <is>
          <t>JD Supra</t>
        </is>
      </c>
      <c r="H124" t="inlineStr">
        <is>
          <t>https://www.jdsupra.com/legalnews/2026-pharmacy-benefit-manager-reform-5449213/</t>
        </is>
      </c>
      <c r="I124" t="inlineStr">
        <is>
          <t>2026-08-01</t>
        </is>
      </c>
    </row>
    <row r="125">
      <c r="A125" t="inlineStr">
        <is>
          <t>2026-09-06</t>
        </is>
      </c>
      <c r="B125" t="inlineStr">
        <is>
          <t>Health Insurance / Payer</t>
        </is>
      </c>
      <c r="C125" t="inlineStr">
        <is>
          <t>Market Economics</t>
        </is>
      </c>
      <c r="D125" t="inlineStr">
        <is>
          <t>United States</t>
        </is>
      </c>
      <c r="E125" t="inlineStr">
        <is>
          <t>CVS raises 2026 earnings outlook again as Aetna's insurance recovery accelerates</t>
        </is>
      </c>
      <c r="F125" t="inlineStr">
        <is>
          <t>CVS Health lifted its full-year adjusted EPS guidance to $7.90-$8.10, its second raise this year, as improved medical-cost management at Aetna and strength across its pharmacy and retail segments drove the beat-and-raise quarter.</t>
        </is>
      </c>
      <c r="G125" t="inlineStr">
        <is>
          <t>Healthcare Finance News</t>
        </is>
      </c>
      <c r="H125" t="inlineStr">
        <is>
          <t>https://www.healthcarefinancenews.com/news/cvs-boosts-guidance-aetna-recovery-gains-momentum</t>
        </is>
      </c>
      <c r="I125" t="inlineStr">
        <is>
          <t>2026-08-06</t>
        </is>
      </c>
    </row>
    <row r="126">
      <c r="A126" t="inlineStr">
        <is>
          <t>2026-09-06</t>
        </is>
      </c>
      <c r="B126" t="inlineStr">
        <is>
          <t>Insurtech</t>
        </is>
      </c>
      <c r="C126" t="inlineStr">
        <is>
          <t>M&amp;A</t>
        </is>
      </c>
      <c r="D126" t="inlineStr">
        <is>
          <t>APAC</t>
        </is>
      </c>
      <c r="E126" t="inlineStr">
        <is>
          <t>Singapore digital insurer KoverNow secures Hong Kong license and launches local app</t>
        </is>
      </c>
      <c r="F126" t="inlineStr">
        <is>
          <t>KoverNow, a Singapore-headquartered digital insurer specializing in luxury-goods coverage, obtained an insurance intermediary license from Hong Kong's Insurance Authority and launched its mobile app in the market.</t>
        </is>
      </c>
      <c r="G126" t="inlineStr">
        <is>
          <t>KoverNow</t>
        </is>
      </c>
      <c r="H126" t="inlineStr">
        <is>
          <t>https://kovernow.com/kovernow-secures-insurance-intermediary-license-in-hong-kong-and-officially-launches-local-app/</t>
        </is>
      </c>
      <c r="I126" t="inlineStr">
        <is>
          <t>2026-08-15</t>
        </is>
      </c>
    </row>
    <row r="127">
      <c r="A127" t="inlineStr">
        <is>
          <t>2026-09-06</t>
        </is>
      </c>
      <c r="B127" t="inlineStr">
        <is>
          <t>Retirement</t>
        </is>
      </c>
      <c r="C127" t="inlineStr">
        <is>
          <t>Market Economics</t>
        </is>
      </c>
      <c r="D127" t="inlineStr">
        <is>
          <t>United States</t>
        </is>
      </c>
      <c r="E127" t="inlineStr">
        <is>
          <t>US public pension funding hits 85% on strong investment returns despite record contribution burden</t>
        </is>
      </c>
      <c r="F127" t="inlineStr">
        <is>
          <t>Equable Institute's State of Pensions 2026 report finds the average public pension plan is now 85% funded, up from 81.2%, as investment returns beat targets for a fourth straight year, even as employer contribution rates hit a historic high.</t>
        </is>
      </c>
      <c r="G127" t="inlineStr">
        <is>
          <t>Equable Institute</t>
        </is>
      </c>
      <c r="H127" t="inlineStr">
        <is>
          <t>https://equable.org/report/state-of-pensions-2026/</t>
        </is>
      </c>
      <c r="I127" t="inlineStr">
        <is>
          <t>2026-09-01</t>
        </is>
      </c>
    </row>
    <row r="128">
      <c r="A128" t="inlineStr">
        <is>
          <t>2026-09-06</t>
        </is>
      </c>
      <c r="B128" t="inlineStr">
        <is>
          <t>Property &amp; Casualty</t>
        </is>
      </c>
      <c r="C128" t="inlineStr">
        <is>
          <t>Market Economics</t>
        </is>
      </c>
      <c r="D128" t="inlineStr">
        <is>
          <t>United States</t>
        </is>
      </c>
      <c r="E128" t="inlineStr">
        <is>
          <t>Home insurance rates set to rise for a fifth straight year as wildfire and storm losses mount</t>
        </is>
      </c>
      <c r="F128" t="inlineStr">
        <is>
          <t>Insurify projects US homeowners insurance premiums will keep climbing in 2026, with California rates alone forecast to jump 16% as insurers respond to persistent wildfire losses and capital strain.</t>
        </is>
      </c>
      <c r="G128" t="inlineStr">
        <is>
          <t>Insurify</t>
        </is>
      </c>
      <c r="H128" t="inlineStr">
        <is>
          <t>https://insurify.com/homeowners-insurance/report/home-insurance-price-projections/</t>
        </is>
      </c>
      <c r="I128" t="inlineStr">
        <is>
          <t>2026-09-01</t>
        </is>
      </c>
    </row>
    <row r="129">
      <c r="A129" t="inlineStr">
        <is>
          <t>2026-09-06</t>
        </is>
      </c>
      <c r="B129" t="inlineStr">
        <is>
          <t>Insurtech</t>
        </is>
      </c>
      <c r="C129" t="inlineStr">
        <is>
          <t>M&amp;A</t>
        </is>
      </c>
      <c r="D129" t="inlineStr">
        <is>
          <t>India</t>
        </is>
      </c>
      <c r="E129" t="inlineStr">
        <is>
          <t>InsuranceDekho and RenewBuy merge to form India's largest AI-led insurance distribution platform</t>
        </is>
      </c>
      <c r="F129" t="inlineStr">
        <is>
          <t>The combined entity, operating under the InsuranceDekho brand, has a premium book above Rs 6,600 crore and reaches 98.57% of India's postal codes, pairing InsuranceDekho's north-and-west presence with RenewBuy's southern network.</t>
        </is>
      </c>
      <c r="G129" t="inlineStr">
        <is>
          <t>Business Standard</t>
        </is>
      </c>
      <c r="H129" t="inlineStr">
        <is>
          <t>https://www.business-standard.com/industry/news/insurancedekho-renewbuy-merge-to-form-largest-ai-led-insurance-platform-126090101130_1.html</t>
        </is>
      </c>
      <c r="I129" t="inlineStr">
        <is>
          <t>2026-09-01</t>
        </is>
      </c>
    </row>
    <row r="130">
      <c r="A130" t="inlineStr">
        <is>
          <t>2026-09-06</t>
        </is>
      </c>
      <c r="B130" t="inlineStr">
        <is>
          <t>Life &amp; Annuities</t>
        </is>
      </c>
      <c r="C130" t="inlineStr">
        <is>
          <t>Market Economics</t>
        </is>
      </c>
      <c r="D130" t="inlineStr">
        <is>
          <t>United States</t>
        </is>
      </c>
      <c r="E130" t="inlineStr">
        <is>
          <t>LIMRA: US retail annuity sales topped $460 billion in 2025 for a fourth straight record year</t>
        </is>
      </c>
      <c r="F130" t="inlineStr">
        <is>
          <t>LIMRA's year-end tally confirms retail annuity sales crossed $460 billion in 2025 marking a fourth consecutive record year as fixed and indexed products continue gaining share.</t>
        </is>
      </c>
      <c r="G130" t="inlineStr">
        <is>
          <t>LIMRA</t>
        </is>
      </c>
      <c r="H130" t="inlineStr">
        <is>
          <t>https://www.limra.com/en/newsroom/news-releases/2026/limra-u.s.-retail-annuity-sales-top-$460-billion-in-2025-marking-fourth-year-of-record-sales/</t>
        </is>
      </c>
      <c r="I130" t="inlineStr">
        <is>
          <t>2026-09-02</t>
        </is>
      </c>
    </row>
    <row r="131">
      <c r="A131" t="inlineStr">
        <is>
          <t>2026-09-06</t>
        </is>
      </c>
      <c r="B131" t="inlineStr">
        <is>
          <t>Wealth Management</t>
        </is>
      </c>
      <c r="C131" t="inlineStr">
        <is>
          <t>M&amp;A</t>
        </is>
      </c>
      <c r="D131" t="inlineStr">
        <is>
          <t>United States</t>
        </is>
      </c>
      <c r="E131" t="inlineStr">
        <is>
          <t>Aquiline to take controlling stake in MassMutual-owned wealthtech platform Flourish</t>
        </is>
      </c>
      <c r="F131" t="inlineStr">
        <is>
          <t>Private equity firm Aquiline Capital Partners agreed to acquire a controlling interest in Flourish, the RIA-focused cash-management and lending platform serving over 1,300 advisors with $2.6 trillion in client assets, with MassMutual remaining a minority investor.</t>
        </is>
      </c>
      <c r="G131" t="inlineStr">
        <is>
          <t>AdvisorHub</t>
        </is>
      </c>
      <c r="H131" t="inlineStr">
        <is>
          <t>https://www.advisorhub.com/aquiline-to-buy-ria-cash-management-firm-flourish/</t>
        </is>
      </c>
      <c r="I131" t="inlineStr">
        <is>
          <t>2026-09-02</t>
        </is>
      </c>
    </row>
    <row r="132">
      <c r="A132" t="inlineStr">
        <is>
          <t>2026-09-06</t>
        </is>
      </c>
      <c r="B132" t="inlineStr">
        <is>
          <t>Wealth Management</t>
        </is>
      </c>
      <c r="C132" t="inlineStr">
        <is>
          <t>M&amp;A</t>
        </is>
      </c>
      <c r="D132" t="inlineStr">
        <is>
          <t>United States</t>
        </is>
      </c>
      <c r="E132" t="inlineStr">
        <is>
          <t>Savant Wealth Management expands into upstate New York with its ninth deal of 2026</t>
        </is>
      </c>
      <c r="F132" t="inlineStr">
        <is>
          <t>Illinois-based Savant Wealth Management, now managing about $56.5 billion, acquired Socha Financial Group, a $542 million Corning-area RIA, marking Savant's ninth acquisition this year and its most active buying pace in the industry.</t>
        </is>
      </c>
      <c r="G132" t="inlineStr">
        <is>
          <t>InvestmentNews</t>
        </is>
      </c>
      <c r="H132" t="inlineStr">
        <is>
          <t>https://www.investmentnews.com/ria-news/savant-wealth-management-expands-in-new-york-with-socha-acquisition/268046</t>
        </is>
      </c>
      <c r="I132" t="inlineStr">
        <is>
          <t>2026-09-02</t>
        </is>
      </c>
    </row>
    <row r="133">
      <c r="A133" t="inlineStr">
        <is>
          <t>2026-09-06</t>
        </is>
      </c>
      <c r="B133" t="inlineStr">
        <is>
          <t>Investments</t>
        </is>
      </c>
      <c r="C133" t="inlineStr">
        <is>
          <t>Investments &amp; Funding</t>
        </is>
      </c>
      <c r="D133" t="inlineStr">
        <is>
          <t>Global</t>
        </is>
      </c>
      <c r="E133" t="inlineStr">
        <is>
          <t>MassMutual Ventures doubles down on climate tech with new $150 million fund</t>
        </is>
      </c>
      <c r="F133" t="inlineStr">
        <is>
          <t>MassMutual Ventures launched a second $150 million Climate Technology Fund targeting early-stage companies applying AI and climate tech to energy infrastructure, real estate and natural resources, bringing its total climate commitment to $300 million.</t>
        </is>
      </c>
      <c r="G133" t="inlineStr">
        <is>
          <t>Global Venturing</t>
        </is>
      </c>
      <c r="H133" t="inlineStr">
        <is>
          <t>https://globalventuring.com/corporate/energy-and-natural-resources/massmutual-doubles-climate-tech-commitment-with-second-150m-fund/</t>
        </is>
      </c>
      <c r="I133" t="inlineStr">
        <is>
          <t>2026-09-03</t>
        </is>
      </c>
    </row>
    <row r="134">
      <c r="A134" t="inlineStr">
        <is>
          <t>2026-09-06</t>
        </is>
      </c>
      <c r="B134" t="inlineStr">
        <is>
          <t>Wealth Management</t>
        </is>
      </c>
      <c r="C134" t="inlineStr">
        <is>
          <t>Market Economics</t>
        </is>
      </c>
      <c r="D134" t="inlineStr">
        <is>
          <t>UK/Europe</t>
        </is>
      </c>
      <c r="E134" t="inlineStr">
        <is>
          <t>European wealthtech funding drops 46% in Q2 as investors turn cautious</t>
        </is>
      </c>
      <c r="F134" t="inlineStr">
        <is>
          <t>European wealthtech funding fell to $185.5 million in the second quarter, down 46% quarter-over-quarter, with average deal size dropping 24% as investors grew more selective despite continued deal activity.</t>
        </is>
      </c>
      <c r="G134" t="inlineStr">
        <is>
          <t>FinTech Global</t>
        </is>
      </c>
      <c r="H134" t="inlineStr">
        <is>
          <t>https://fintech.global/2026/09/03/european-wealthtech-funding-dropped-46-in-q2-as-investors-grew-cautious/</t>
        </is>
      </c>
      <c r="I134" t="inlineStr">
        <is>
          <t>2026-09-03</t>
        </is>
      </c>
    </row>
    <row r="135">
      <c r="A135" t="inlineStr">
        <is>
          <t>2026-09-06</t>
        </is>
      </c>
      <c r="B135" t="inlineStr">
        <is>
          <t>Property &amp; Casualty</t>
        </is>
      </c>
      <c r="C135" t="inlineStr">
        <is>
          <t>Market Economics</t>
        </is>
      </c>
      <c r="D135" t="inlineStr">
        <is>
          <t>UK/Europe</t>
        </is>
      </c>
      <c r="E135" t="inlineStr">
        <is>
          <t>Lloyd's of London posts £1.9 billion first-half underwriting profit as combined ratio improves</t>
        </is>
      </c>
      <c r="F135" t="inlineStr">
        <is>
          <t>Lloyd's reported an improved first-half 2026 combined ratio of 90.8%, down from 92.5% a year earlier, driving a £1.9 billion underwriting profit even as the market flags rising competitive pressure in reinsurance pricing.</t>
        </is>
      </c>
      <c r="G135" t="inlineStr">
        <is>
          <t>Insurance Journal</t>
        </is>
      </c>
      <c r="H135" t="inlineStr">
        <is>
          <t>https://www.insurancejournal.com/news/international/2026/09/03/883823.htm</t>
        </is>
      </c>
      <c r="I135" t="inlineStr">
        <is>
          <t>2026-09-03</t>
        </is>
      </c>
    </row>
    <row r="136">
      <c r="A136" t="inlineStr">
        <is>
          <t>2026-09-06</t>
        </is>
      </c>
      <c r="B136" t="inlineStr">
        <is>
          <t>Life &amp; Annuities</t>
        </is>
      </c>
      <c r="C136" t="inlineStr">
        <is>
          <t>Market Economics</t>
        </is>
      </c>
      <c r="D136" t="inlineStr">
        <is>
          <t>United States</t>
        </is>
      </c>
      <c r="E136" t="inlineStr">
        <is>
          <t>US annuity sales hit fresh records as market jitters and rising rates boost demand</t>
        </is>
      </c>
      <c r="F136" t="inlineStr">
        <is>
          <t>InvestmentNews reports war-related uncertainty and Fed rate moves have redrawn fixed-income demand, pushing annuity sales to new highs as insurers see brisk uptake of protected-income products.</t>
        </is>
      </c>
      <c r="G136" t="inlineStr">
        <is>
          <t>InvestmentNews</t>
        </is>
      </c>
      <c r="H136" t="inlineStr">
        <is>
          <t>https://www.investmentnews.com/retirement-planning/annuity-sales-hit-a-record-as-war-and-fed-jitters-redraw-fixed-income/267676</t>
        </is>
      </c>
      <c r="I136" t="inlineStr">
        <is>
          <t>2026-09-04</t>
        </is>
      </c>
    </row>
    <row r="137">
      <c r="A137" t="inlineStr">
        <is>
          <t>2026-09-07</t>
        </is>
      </c>
      <c r="B137" t="inlineStr">
        <is>
          <t>Retirement</t>
        </is>
      </c>
      <c r="C137" t="inlineStr">
        <is>
          <t>Market Economics</t>
        </is>
      </c>
      <c r="D137" t="inlineStr">
        <is>
          <t>United States</t>
        </is>
      </c>
      <c r="E137" t="inlineStr">
        <is>
          <t>ICI data shows US retirement assets holding near record levels entering 2026</t>
        </is>
      </c>
      <c r="F137" t="inlineStr">
        <is>
          <t>The Investment Company Institute's quarterly retirement market report shows total US retirement assets remaining near record highs, underscoring continued strength in defined-contribution plan balances.</t>
        </is>
      </c>
      <c r="G137" t="inlineStr">
        <is>
          <t>Investment Company Institute</t>
        </is>
      </c>
      <c r="H137" t="inlineStr">
        <is>
          <t>https://www.ici.org/statistical-report/ret_26_q1</t>
        </is>
      </c>
      <c r="I137" t="inlineStr">
        <is>
          <t>2026-07-10</t>
        </is>
      </c>
    </row>
    <row r="138">
      <c r="A138" t="inlineStr">
        <is>
          <t>2026-09-07</t>
        </is>
      </c>
      <c r="B138" t="inlineStr">
        <is>
          <t>Investments</t>
        </is>
      </c>
      <c r="C138" t="inlineStr">
        <is>
          <t>Market Economics</t>
        </is>
      </c>
      <c r="D138" t="inlineStr">
        <is>
          <t>Global</t>
        </is>
      </c>
      <c r="E138" t="inlineStr">
        <is>
          <t>Insurers urged to stay cautious on risk assets despite a resilient first half</t>
        </is>
      </c>
      <c r="F138" t="inlineStr">
        <is>
          <t>Invesco's midyear 2026 insurance investment outlook says risk assets have held up well this year, but tight credit spreads, geopolitical risk and inflation uncertainty argue for a cautious stance into the second half.</t>
        </is>
      </c>
      <c r="G138" t="inlineStr">
        <is>
          <t>Invesco</t>
        </is>
      </c>
      <c r="H138" t="inlineStr">
        <is>
          <t>https://www.invesco.com/apac/en/institutional/insights/multi-asset/insurance-investment-outlook.html</t>
        </is>
      </c>
      <c r="I138" t="inlineStr">
        <is>
          <t>2026-07-20</t>
        </is>
      </c>
    </row>
    <row r="139">
      <c r="A139" t="inlineStr">
        <is>
          <t>2026-09-07</t>
        </is>
      </c>
      <c r="B139" t="inlineStr">
        <is>
          <t>Property &amp; Casualty</t>
        </is>
      </c>
      <c r="C139" t="inlineStr">
        <is>
          <t>Market Economics</t>
        </is>
      </c>
      <c r="D139" t="inlineStr">
        <is>
          <t>Global</t>
        </is>
      </c>
      <c r="E139" t="inlineStr">
        <is>
          <t>Catastrophe bond issuance hits record $17.3 billion in first half of 2026</t>
        </is>
      </c>
      <c r="F139" t="inlineStr">
        <is>
          <t>Global catastrophe bond issuance reached a record $17.3 billion in the first six months of 2026, per AM Best, as investors increasingly favor cat bonds over private reinsurance for their transparency.</t>
        </is>
      </c>
      <c r="G139" t="inlineStr">
        <is>
          <t>Arab Reinsurance Company</t>
        </is>
      </c>
      <c r="H139" t="inlineStr">
        <is>
          <t>https://arabre.com/global-catastrophe-bond-issuances-hit-17-3-billion-in-6-months/</t>
        </is>
      </c>
      <c r="I139" t="inlineStr">
        <is>
          <t>2026-07-25</t>
        </is>
      </c>
    </row>
    <row r="140">
      <c r="A140" t="inlineStr">
        <is>
          <t>2026-09-07</t>
        </is>
      </c>
      <c r="B140" t="inlineStr">
        <is>
          <t>BrokerTech</t>
        </is>
      </c>
      <c r="C140" t="inlineStr">
        <is>
          <t>Investments &amp; Funding</t>
        </is>
      </c>
      <c r="D140" t="inlineStr">
        <is>
          <t>United States</t>
        </is>
      </c>
      <c r="E140" t="inlineStr">
        <is>
          <t>BrokerTech Ventures' 2026 accelerator cohort gets broker and carrier distribution access</t>
        </is>
      </c>
      <c r="F140" t="inlineStr">
        <is>
          <t>BrokerTech Ventures' 2026 accelerator cohort of nine insurtech startups each received $50,000 in seed funding plus immediate access to BTV's broker and carrier network to pilot their technology.</t>
        </is>
      </c>
      <c r="G140" t="inlineStr">
        <is>
          <t>Holmes Murphy</t>
        </is>
      </c>
      <c r="H140" t="inlineStr">
        <is>
          <t>https://www.holmesmurphy.com/news/brokertech-ventures-announces-2026-accelerator-cohort-sponsors-gis-and-more/</t>
        </is>
      </c>
      <c r="I140" t="inlineStr">
        <is>
          <t>2026-08-01</t>
        </is>
      </c>
    </row>
    <row r="141">
      <c r="A141" t="inlineStr">
        <is>
          <t>2026-09-07</t>
        </is>
      </c>
      <c r="B141" t="inlineStr">
        <is>
          <t>Healthcare / Provider &amp; Clinical</t>
        </is>
      </c>
      <c r="C141" t="inlineStr">
        <is>
          <t>Technology &amp; AI</t>
        </is>
      </c>
      <c r="D141" t="inlineStr">
        <is>
          <t>United States</t>
        </is>
      </c>
      <c r="E141" t="inlineStr">
        <is>
          <t>Intermountain Health cuts documentation time 27% with ambient AI scribe tool</t>
        </is>
      </c>
      <c r="F141" t="inlineStr">
        <is>
          <t>Intermountain Health reported a 27% reduction in time spent on clinical notes per appointment after deploying Microsoft's Dragon Copilot ambient AI scribe, part of a broader wave of health systems adopting documentation AI.</t>
        </is>
      </c>
      <c r="G141" t="inlineStr">
        <is>
          <t>SullivanCotter</t>
        </is>
      </c>
      <c r="H141" t="inlineStr">
        <is>
          <t>https://sullivancotter.com/resources/how-ai-will-shape-the-future-of-health-care-in-2026</t>
        </is>
      </c>
      <c r="I141" t="inlineStr">
        <is>
          <t>2026-08-01</t>
        </is>
      </c>
    </row>
    <row r="142">
      <c r="A142" t="inlineStr">
        <is>
          <t>2026-09-07</t>
        </is>
      </c>
      <c r="B142" t="inlineStr">
        <is>
          <t>Life &amp; Annuities</t>
        </is>
      </c>
      <c r="C142" t="inlineStr">
        <is>
          <t>Investments &amp; Funding</t>
        </is>
      </c>
      <c r="D142" t="inlineStr">
        <is>
          <t>UK/Europe</t>
        </is>
      </c>
      <c r="E142" t="inlineStr">
        <is>
          <t>Finnish pension insurer Veritas posts record 6.9% quarterly return</t>
        </is>
      </c>
      <c r="F142" t="inlineStr">
        <is>
          <t>Veritas Pension Insurance reported a record-high 6.9% return for the second quarter of 2026, adding to signs that European life and pension insurers are benefiting from resilient risk-asset performance.</t>
        </is>
      </c>
      <c r="G142" t="inlineStr">
        <is>
          <t>Insurance Asset Risk</t>
        </is>
      </c>
      <c r="H142" t="inlineStr">
        <is>
          <t>https://www.insuranceassetrisk.com/</t>
        </is>
      </c>
      <c r="I142" t="inlineStr">
        <is>
          <t>2026-08-05</t>
        </is>
      </c>
    </row>
    <row r="143">
      <c r="A143" t="inlineStr">
        <is>
          <t>2026-09-07</t>
        </is>
      </c>
      <c r="B143" t="inlineStr">
        <is>
          <t>Wealth Management</t>
        </is>
      </c>
      <c r="C143" t="inlineStr">
        <is>
          <t>M&amp;A</t>
        </is>
      </c>
      <c r="D143" t="inlineStr">
        <is>
          <t>United States</t>
        </is>
      </c>
      <c r="E143" t="inlineStr">
        <is>
          <t>RIA M&amp;A activity jumps nearly 40% in first half of 2026</t>
        </is>
      </c>
      <c r="F143" t="inlineStr">
        <is>
          <t>Nationwide RIA merger-and-acquisition activity climbed roughly 40% in the first half of 2026 versus a year earlier, with WealthManagement.com pointing to continued consolidation among registered investment advisors heading into 2026 planning season.</t>
        </is>
      </c>
      <c r="G143" t="inlineStr">
        <is>
          <t>WealthManagement.com</t>
        </is>
      </c>
      <c r="H143" t="inlineStr">
        <is>
          <t>https://www.wealthmanagement.com/ria-news/ria-outlook-2026-more-m-a-new-services-planned-for-2026</t>
        </is>
      </c>
      <c r="I143" t="inlineStr">
        <is>
          <t>2026-08-05</t>
        </is>
      </c>
    </row>
    <row r="144">
      <c r="A144" t="inlineStr">
        <is>
          <t>2026-09-07</t>
        </is>
      </c>
      <c r="B144" t="inlineStr">
        <is>
          <t>Investments</t>
        </is>
      </c>
      <c r="C144" t="inlineStr">
        <is>
          <t>Market Economics</t>
        </is>
      </c>
      <c r="D144" t="inlineStr">
        <is>
          <t>UK/Europe</t>
        </is>
      </c>
      <c r="E144" t="inlineStr">
        <is>
          <t>Allianz posts record first-half 2026 results on asset-management strength</t>
        </is>
      </c>
      <c r="F144" t="inlineStr">
        <is>
          <t>Allianz reported record first-half 2026 operating profit of €9.4 billion, up 8.6%, with its asset-management segment posting 20% operating-profit growth in the second quarter on €39 billion of third-party net inflows.</t>
        </is>
      </c>
      <c r="G144" t="inlineStr">
        <is>
          <t>Allianz</t>
        </is>
      </c>
      <c r="H144" t="inlineStr">
        <is>
          <t>https://www.allianz.com/en/mediacenter/news/media-releases/financials/260807-2q-2026-earnings-release.html</t>
        </is>
      </c>
      <c r="I144" t="inlineStr">
        <is>
          <t>2026-08-07</t>
        </is>
      </c>
    </row>
    <row r="145">
      <c r="A145" t="inlineStr">
        <is>
          <t>2026-09-07</t>
        </is>
      </c>
      <c r="B145" t="inlineStr">
        <is>
          <t>Life &amp; Annuities</t>
        </is>
      </c>
      <c r="C145" t="inlineStr">
        <is>
          <t>Market Economics</t>
        </is>
      </c>
      <c r="D145" t="inlineStr">
        <is>
          <t>India</t>
        </is>
      </c>
      <c r="E145" t="inlineStr">
        <is>
          <t>India's largest life insurer faces a public-market reckoning as valuation questions mount</t>
        </is>
      </c>
      <c r="F145" t="inlineStr">
        <is>
          <t>Coverage of India's dominant life insurer highlights growing investor scrutiny of its valuation and growth trajectory even as the country's overall life insurance new-business premium crossed ₹4 trillion for the first time in FY26, up 15.7% year-on-year.</t>
        </is>
      </c>
      <c r="G145" t="inlineStr">
        <is>
          <t>Insurance Business Asia</t>
        </is>
      </c>
      <c r="H145" t="inlineStr">
        <is>
          <t>https://www.insurancebusinessmag.com/asia/news/life-insurance/indias-life-insurance-giant-faces-its-public-market-reckoning-585060.aspx</t>
        </is>
      </c>
      <c r="I145" t="inlineStr">
        <is>
          <t>2026-08-10</t>
        </is>
      </c>
    </row>
    <row r="146">
      <c r="A146" t="inlineStr">
        <is>
          <t>2026-09-07</t>
        </is>
      </c>
      <c r="B146" t="inlineStr">
        <is>
          <t>Investments</t>
        </is>
      </c>
      <c r="C146" t="inlineStr">
        <is>
          <t>Investments &amp; Funding</t>
        </is>
      </c>
      <c r="D146" t="inlineStr">
        <is>
          <t>Global</t>
        </is>
      </c>
      <c r="E146" t="inlineStr">
        <is>
          <t>Insurers keep tilting portfolios toward private credit as spreads stay historically tight</t>
        </is>
      </c>
      <c r="F146" t="inlineStr">
        <is>
          <t>A 2026 insurance asset management trends report finds private fixed income has surged 141% since 2021 and is now the second-largest asset category, as insurers chase illiquidity premiums with public credit spreads compressed.</t>
        </is>
      </c>
      <c r="G146" t="inlineStr">
        <is>
          <t>Clearwater Analytics</t>
        </is>
      </c>
      <c r="H146" t="inlineStr">
        <is>
          <t>https://cwan.com/resources/reports/2026-insurance-asset-management-trends</t>
        </is>
      </c>
      <c r="I146" t="inlineStr">
        <is>
          <t>2026-08-12</t>
        </is>
      </c>
    </row>
    <row r="147">
      <c r="A147" t="inlineStr">
        <is>
          <t>2026-09-07</t>
        </is>
      </c>
      <c r="B147" t="inlineStr">
        <is>
          <t>TPA</t>
        </is>
      </c>
      <c r="C147" t="inlineStr">
        <is>
          <t>Market Economics</t>
        </is>
      </c>
      <c r="D147" t="inlineStr">
        <is>
          <t>Global</t>
        </is>
      </c>
      <c r="E147" t="inlineStr">
        <is>
          <t>Global TPA market climbs toward $404 billion in 2026 on outsourcing demand</t>
        </is>
      </c>
      <c r="F147" t="inlineStr">
        <is>
          <t>The insurance third-party administrator market is estimated to expand from $372 billion in 2025 to roughly $404 billion in 2026, an 8.7% growth rate driven by insurers and employers outsourcing administration as claims complexity rises.</t>
        </is>
      </c>
      <c r="G147" t="inlineStr">
        <is>
          <t>Technavio</t>
        </is>
      </c>
      <c r="H147" t="inlineStr">
        <is>
          <t>https://www.technavio.com/report/insurance-third-party-administrators-market-industry-analysis</t>
        </is>
      </c>
      <c r="I147" t="inlineStr">
        <is>
          <t>2026-08-18</t>
        </is>
      </c>
    </row>
    <row r="148">
      <c r="A148" t="inlineStr">
        <is>
          <t>2026-09-07</t>
        </is>
      </c>
      <c r="B148" t="inlineStr">
        <is>
          <t>Property &amp; Casualty</t>
        </is>
      </c>
      <c r="C148" t="inlineStr">
        <is>
          <t>M&amp;A</t>
        </is>
      </c>
      <c r="D148" t="inlineStr">
        <is>
          <t>Global</t>
        </is>
      </c>
      <c r="E148" t="inlineStr">
        <is>
          <t>Munich Re to acquire cyber insurtech At-Bay for $575 million</t>
        </is>
      </c>
      <c r="F148" t="inlineStr">
        <is>
          <t>Munich Re agreed to acquire At-Bay, a US cyber insurtech, for $575 million, folding it into Hartford Steam Boiler and marking Munich Re's largest disclosed move yet into primary cyber insurance underwriting.</t>
        </is>
      </c>
      <c r="G148" t="inlineStr">
        <is>
          <t>Insurance Journal</t>
        </is>
      </c>
      <c r="H148" t="inlineStr">
        <is>
          <t>https://www.insurancejournal.com/news/national/2026/08/19/882152.htm</t>
        </is>
      </c>
      <c r="I148" t="inlineStr">
        <is>
          <t>2026-08-19</t>
        </is>
      </c>
    </row>
    <row r="149">
      <c r="A149" t="inlineStr">
        <is>
          <t>2026-09-07</t>
        </is>
      </c>
      <c r="B149" t="inlineStr">
        <is>
          <t>TPA</t>
        </is>
      </c>
      <c r="C149" t="inlineStr">
        <is>
          <t>Technology &amp; AI</t>
        </is>
      </c>
      <c r="D149" t="inlineStr">
        <is>
          <t>Global</t>
        </is>
      </c>
      <c r="E149" t="inlineStr">
        <is>
          <t>AI-driven claims automation named key growth driver for TPA sector through 2030</t>
        </is>
      </c>
      <c r="F149" t="inlineStr">
        <is>
          <t>A 2026 market analysis of insurance third-party administrators cites AI-driven claims automation and demand for scalable TPA platforms as the leading growth drivers for the sector through the end of the decade.</t>
        </is>
      </c>
      <c r="G149" t="inlineStr">
        <is>
          <t>Data Insights Market</t>
        </is>
      </c>
      <c r="H149" t="inlineStr">
        <is>
          <t>https://www.datainsightsmarket.com/reports/insurance-third-party-administrators-market-19723</t>
        </is>
      </c>
      <c r="I149" t="inlineStr">
        <is>
          <t>2026-08-22</t>
        </is>
      </c>
    </row>
    <row r="150">
      <c r="A150" t="inlineStr">
        <is>
          <t>2026-09-07</t>
        </is>
      </c>
      <c r="B150" t="inlineStr">
        <is>
          <t>Wealth Management</t>
        </is>
      </c>
      <c r="C150" t="inlineStr">
        <is>
          <t>M&amp;A</t>
        </is>
      </c>
      <c r="D150" t="inlineStr">
        <is>
          <t>United States</t>
        </is>
      </c>
      <c r="E150" t="inlineStr">
        <is>
          <t>RIA dealmaking accelerates as three acquirers hit new AUM milestones</t>
        </is>
      </c>
      <c r="F150" t="inlineStr">
        <is>
          <t>InvestmentNews reports RIA dealmaking is accelerating, highlighting Wealth Enhancement's purchase of a $345 million Anchorage-based RIA and other acquirers crossing new assets-under-management thresholds.</t>
        </is>
      </c>
      <c r="G150" t="inlineStr">
        <is>
          <t>InvestmentNews</t>
        </is>
      </c>
      <c r="H150" t="inlineStr">
        <is>
          <t>https://www.investmentnews.com/ria-news/ria-dealmaking-accelerates-as-three-firms-hit-aum-milestones/267922</t>
        </is>
      </c>
      <c r="I150" t="inlineStr">
        <is>
          <t>2026-08-25</t>
        </is>
      </c>
    </row>
    <row r="151">
      <c r="A151" t="inlineStr">
        <is>
          <t>2026-09-07</t>
        </is>
      </c>
      <c r="B151" t="inlineStr">
        <is>
          <t>Property &amp; Casualty</t>
        </is>
      </c>
      <c r="C151" t="inlineStr">
        <is>
          <t>Market Economics</t>
        </is>
      </c>
      <c r="D151" t="inlineStr">
        <is>
          <t>Global</t>
        </is>
      </c>
      <c r="E151" t="inlineStr">
        <is>
          <t>Reinsurance sidecar market set to hit record $23 billion in 2026</t>
        </is>
      </c>
      <c r="F151" t="inlineStr">
        <is>
          <t>Industry estimates put the reinsurance sidecar market at a record $23 billion for 2026, with Swiss Re separately projecting up to $200 billion in premium opportunity from data centers and renewables by 2030.</t>
        </is>
      </c>
      <c r="G151" t="inlineStr">
        <is>
          <t>GARP Risk Intelligence</t>
        </is>
      </c>
      <c r="H151" t="inlineStr">
        <is>
          <t>https://www.garp.org/risk-intelligence/market/banner-year-catastrophe-bonds-250926</t>
        </is>
      </c>
      <c r="I151" t="inlineStr">
        <is>
          <t>2026-08-26</t>
        </is>
      </c>
    </row>
    <row r="152">
      <c r="A152" t="inlineStr">
        <is>
          <t>2026-09-07</t>
        </is>
      </c>
      <c r="B152" t="inlineStr">
        <is>
          <t>Life &amp; Annuities</t>
        </is>
      </c>
      <c r="C152" t="inlineStr">
        <is>
          <t>Market Economics</t>
        </is>
      </c>
      <c r="D152" t="inlineStr">
        <is>
          <t>United States</t>
        </is>
      </c>
      <c r="E152" t="inlineStr">
        <is>
          <t>LIMRA forecasts a fourth straight record year for U.S. annuity sales in 2026</t>
        </is>
      </c>
      <c r="F152" t="inlineStr">
        <is>
          <t>LIMRA's Life Insurance Awareness Month research puts 2026 annuity sales on pace for a new industry record of between $438 billion and $485 billion, even as crediting rates are expected to ease gradually through the year.</t>
        </is>
      </c>
      <c r="G152" t="inlineStr">
        <is>
          <t>LIMRA</t>
        </is>
      </c>
      <c r="H152" t="inlineStr">
        <is>
          <t>https://www.limra.com/en/newsroom/life-insurance-awareness-month-2026/</t>
        </is>
      </c>
      <c r="I152" t="inlineStr">
        <is>
          <t>2026-09-01</t>
        </is>
      </c>
    </row>
    <row r="153">
      <c r="A153" t="inlineStr">
        <is>
          <t>2026-09-07</t>
        </is>
      </c>
      <c r="B153" t="inlineStr">
        <is>
          <t>Brokers &amp; MGA/GA</t>
        </is>
      </c>
      <c r="C153" t="inlineStr">
        <is>
          <t>People &amp; Leadership</t>
        </is>
      </c>
      <c r="D153" t="inlineStr">
        <is>
          <t>APAC</t>
        </is>
      </c>
      <c r="E153" t="inlineStr">
        <is>
          <t>Aon promotes Larry Kwok to head North Asia market</t>
        </is>
      </c>
      <c r="F153" t="inlineStr">
        <is>
          <t>Aon promoted Larry Kwok to head of its North Asia market excluding South Korea, while Er Jun joined the broker from Lockton to lead its marine major-market division, as regulatory divergence across APAC pushes brokers to consolidate leadership on cross-border programs.</t>
        </is>
      </c>
      <c r="G153" t="inlineStr">
        <is>
          <t>InsuranceAsia News</t>
        </is>
      </c>
      <c r="H153" t="inlineStr">
        <is>
          <t>https://insuranceasianews.com/</t>
        </is>
      </c>
      <c r="I153" t="inlineStr">
        <is>
          <t>2026-09-01</t>
        </is>
      </c>
    </row>
    <row r="154">
      <c r="A154" t="inlineStr">
        <is>
          <t>2026-09-07</t>
        </is>
      </c>
      <c r="B154" t="inlineStr">
        <is>
          <t>Wealth Management</t>
        </is>
      </c>
      <c r="C154" t="inlineStr">
        <is>
          <t>Technology &amp; AI</t>
        </is>
      </c>
      <c r="D154" t="inlineStr">
        <is>
          <t>United States</t>
        </is>
      </c>
      <c r="E154" t="inlineStr">
        <is>
          <t>AI-adopting RIAs report hiring and productivity gains, Kitces roundup finds</t>
        </is>
      </c>
      <c r="F154" t="inlineStr">
        <is>
          <t>The latest Kitces weekend reading roundup for financial planners cites survey data showing RIAs that have adopted AI tools are hiring more staff and reporting higher productivity, alongside continued growth in model-portfolio usage.</t>
        </is>
      </c>
      <c r="G154" t="inlineStr">
        <is>
          <t>Kitces.com</t>
        </is>
      </c>
      <c r="H154" t="inlineStr">
        <is>
          <t>https://www.kitces.com/blog/weekend-reading-for-financial-planners-september-5-6-2026/</t>
        </is>
      </c>
      <c r="I154" t="inlineStr">
        <is>
          <t>2026-09-05</t>
        </is>
      </c>
    </row>
    <row r="155">
      <c r="A155" t="inlineStr">
        <is>
          <t>2026-09-07</t>
        </is>
      </c>
      <c r="B155" t="inlineStr">
        <is>
          <t>Insurtech</t>
        </is>
      </c>
      <c r="C155" t="inlineStr">
        <is>
          <t>Technology &amp; AI</t>
        </is>
      </c>
      <c r="D155" t="inlineStr">
        <is>
          <t>Global</t>
        </is>
      </c>
      <c r="E155" t="inlineStr">
        <is>
          <t>Insurers told to reinvest AI cost savings into claims judgment, not just automation</t>
        </is>
      </c>
      <c r="F155" t="inlineStr">
        <is>
          <t>A trade commentary published today argues insurers banking efficiency gains from AI-driven claims processing should reinvest the savings into building adjusters' judgment skills rather than treating automation as a pure cost play.</t>
        </is>
      </c>
      <c r="G155" t="inlineStr">
        <is>
          <t>Insurance-Edge</t>
        </is>
      </c>
      <c r="H155" t="inlineStr">
        <is>
          <t>https://insurance-edge.net/2026/09/07/insurers-should-spend-ai-savings-on-claims-judgment/</t>
        </is>
      </c>
      <c r="I155" t="inlineStr">
        <is>
          <t>2026-09-07</t>
        </is>
      </c>
    </row>
    <row r="156">
      <c r="A156" t="inlineStr">
        <is>
          <t>2026-09-08</t>
        </is>
      </c>
      <c r="B156" t="inlineStr">
        <is>
          <t>Life &amp; Annuities</t>
        </is>
      </c>
      <c r="C156" t="inlineStr">
        <is>
          <t>Market Economics</t>
        </is>
      </c>
      <c r="D156" t="inlineStr">
        <is>
          <t>United States</t>
        </is>
      </c>
      <c r="E156" t="inlineStr">
        <is>
          <t>Prudential posts higher Q2 2026 profit as annuity and retirement businesses strengthen</t>
        </is>
      </c>
      <c r="F156" t="inlineStr">
        <is>
          <t>Prudential Financial reported second-quarter 2026 net income climbing to $985 million and adjusted operating income rising to $1.44 billion, reflecting continued strength across its life insurance and retirement product lines.</t>
        </is>
      </c>
      <c r="G156" t="inlineStr">
        <is>
          <t>Prudential Financial</t>
        </is>
      </c>
      <c r="H156" t="inlineStr">
        <is>
          <t>https://news.prudential.com/us-en/latest-news/prudential-news/2026/q3/Prudential-Financial-Inc-Announces-Second-Quarter-2026-Results</t>
        </is>
      </c>
      <c r="I156" t="inlineStr">
        <is>
          <t>2026-07-30</t>
        </is>
      </c>
    </row>
    <row r="157">
      <c r="A157" t="inlineStr">
        <is>
          <t>2026-09-08</t>
        </is>
      </c>
      <c r="B157" t="inlineStr">
        <is>
          <t>Investments</t>
        </is>
      </c>
      <c r="C157" t="inlineStr">
        <is>
          <t>Market Economics</t>
        </is>
      </c>
      <c r="D157" t="inlineStr">
        <is>
          <t>United States</t>
        </is>
      </c>
      <c r="E157" t="inlineStr">
        <is>
          <t>T. Rowe Price's target-date retirement funds top $622 billion in assets through mid-2026</t>
        </is>
      </c>
      <c r="F157" t="inlineStr">
        <is>
          <t>T. Rowe Price's latest SEC filing shows its target-date retirement product suite held $622.0 billion in assets as of June 30, 2026, with $6.6 billion of net inflows over the first half of the year.</t>
        </is>
      </c>
      <c r="G157" t="inlineStr">
        <is>
          <t>T. Rowe Price (SEC filing)</t>
        </is>
      </c>
      <c r="H157" t="inlineStr">
        <is>
          <t>https://www.sec.gov/Archives/edgar/data/0001113169/000162828026051335/trow-20260630.htm</t>
        </is>
      </c>
      <c r="I157" t="inlineStr">
        <is>
          <t>2026-08-07</t>
        </is>
      </c>
    </row>
    <row r="158">
      <c r="A158" t="inlineStr">
        <is>
          <t>2026-09-08</t>
        </is>
      </c>
      <c r="B158" t="inlineStr">
        <is>
          <t>Health Insurance / Payer</t>
        </is>
      </c>
      <c r="C158" t="inlineStr">
        <is>
          <t>Market Economics</t>
        </is>
      </c>
      <c r="D158" t="inlineStr">
        <is>
          <t>United States</t>
        </is>
      </c>
      <c r="E158" t="inlineStr">
        <is>
          <t>UCare becomes latest insurer to exit the Medicare Advantage market</t>
        </is>
      </c>
      <c r="F158" t="inlineStr">
        <is>
          <t>Minnesota nonprofit insurer UCare has asked CMS to terminate its Medicare Advantage contracts for 2026, citing rising medical costs and broader strain across the MA market.</t>
        </is>
      </c>
      <c r="G158" t="inlineStr">
        <is>
          <t>Becker's Payer Issues</t>
        </is>
      </c>
      <c r="H158" t="inlineStr">
        <is>
          <t>https://www.beckerspayer.com/payer/medicare-advantage/ucare-to-exit-medicare-advantage-market-in-2026/</t>
        </is>
      </c>
      <c r="I158" t="inlineStr">
        <is>
          <t>2026-08-20</t>
        </is>
      </c>
    </row>
    <row r="159">
      <c r="A159" t="inlineStr">
        <is>
          <t>2026-09-08</t>
        </is>
      </c>
      <c r="B159" t="inlineStr">
        <is>
          <t>Property &amp; Casualty</t>
        </is>
      </c>
      <c r="C159" t="inlineStr">
        <is>
          <t>Market Economics</t>
        </is>
      </c>
      <c r="D159" t="inlineStr">
        <is>
          <t>APAC</t>
        </is>
      </c>
      <c r="E159" t="inlineStr">
        <is>
          <t>APAC insurers navigate geopolitics, catastrophe losses, and AI adoption in 2026</t>
        </is>
      </c>
      <c r="F159" t="inlineStr">
        <is>
          <t>Regional insurers across Asia-Pacific are contending with overlapping pressures from geopolitical tension, rising natural catastrophe losses, and fast-moving AI adoption even as the region remains the primary engine of global insurance premium growth.</t>
        </is>
      </c>
      <c r="G159" t="inlineStr">
        <is>
          <t>Insurance Business Magazine (Australia)</t>
        </is>
      </c>
      <c r="H159" t="inlineStr">
        <is>
          <t>https://www.insurancebusinessmag.com/au/news/breaking-news/apac-insurers-confront-geopolitics-catastrophes-and-ai-in-2026-563640.aspx</t>
        </is>
      </c>
      <c r="I159" t="inlineStr">
        <is>
          <t>2026-08-20</t>
        </is>
      </c>
    </row>
    <row r="160">
      <c r="A160" t="inlineStr">
        <is>
          <t>2026-09-08</t>
        </is>
      </c>
      <c r="B160" t="inlineStr">
        <is>
          <t>Healthcare / Provider &amp; Clinical</t>
        </is>
      </c>
      <c r="C160" t="inlineStr">
        <is>
          <t>Regulatory &amp; Policy</t>
        </is>
      </c>
      <c r="D160" t="inlineStr">
        <is>
          <t>United States</t>
        </is>
      </c>
      <c r="E160" t="inlineStr">
        <is>
          <t>Bipartisan 'Doctors Not AI Act' seeks to keep medical-necessity denials in human hands</t>
        </is>
      </c>
      <c r="F160" t="inlineStr">
        <is>
          <t>A bipartisan group of House lawmakers introduced legislation requiring that insurance claim denials based on medical necessity be made by a licensed clinician, limiting AI to a supporting role in the claims process.</t>
        </is>
      </c>
      <c r="G160" t="inlineStr">
        <is>
          <t>Office of Rep. Greg Landsman</t>
        </is>
      </c>
      <c r="H160" t="inlineStr">
        <is>
          <t>https://landsman.house.gov/posts/landsman-introduces-bipartisan-legislation-to-keep-ai-from-making-health-care-decisions</t>
        </is>
      </c>
      <c r="I160" t="inlineStr">
        <is>
          <t>2026-08-25</t>
        </is>
      </c>
    </row>
    <row r="161">
      <c r="A161" t="inlineStr">
        <is>
          <t>2026-09-08</t>
        </is>
      </c>
      <c r="B161" t="inlineStr">
        <is>
          <t>Healthcare / Provider &amp; Clinical</t>
        </is>
      </c>
      <c r="C161" t="inlineStr">
        <is>
          <t>Technology &amp; AI</t>
        </is>
      </c>
      <c r="D161" t="inlineStr">
        <is>
          <t>UK/Europe</t>
        </is>
      </c>
      <c r="E161" t="inlineStr">
        <is>
          <t>NHS watchdog finds AI scribes inserting incorrect diagnoses and drug names into patient records</t>
        </is>
      </c>
      <c r="F161" t="inlineStr">
        <is>
          <t>Healthwatch England reported on August 31, 2026 that AI transcription tools used across dozens of NHS scribe products have produced errors including a dropped negation that reversed a diagnosis, with patients catching mistakes clinicians missed.</t>
        </is>
      </c>
      <c r="G161" t="inlineStr">
        <is>
          <t>The Next Web</t>
        </is>
      </c>
      <c r="H161" t="inlineStr">
        <is>
          <t>https://thenextweb.com/news/nhs-ai-scribes-errors-healthwatch-mhra</t>
        </is>
      </c>
      <c r="I161" t="inlineStr">
        <is>
          <t>2026-08-31</t>
        </is>
      </c>
    </row>
    <row r="162">
      <c r="A162" t="inlineStr">
        <is>
          <t>2026-09-08</t>
        </is>
      </c>
      <c r="B162" t="inlineStr">
        <is>
          <t>Property &amp; Casualty</t>
        </is>
      </c>
      <c r="C162" t="inlineStr">
        <is>
          <t>Market Economics</t>
        </is>
      </c>
      <c r="D162" t="inlineStr">
        <is>
          <t>Global</t>
        </is>
      </c>
      <c r="E162" t="inlineStr">
        <is>
          <t>Verisk raises average annual global catastrophe loss estimate to $171 billion</t>
        </is>
      </c>
      <c r="F162" t="inlineStr">
        <is>
          <t>Verisk's latest catastrophe modeling projects the insurance industry should expect to absorb $171 billion in insured natural catastrophe losses in an average year, up $19 billion from its prior estimate.</t>
        </is>
      </c>
      <c r="G162" t="inlineStr">
        <is>
          <t>Insurance Journal</t>
        </is>
      </c>
      <c r="H162" t="inlineStr">
        <is>
          <t>https://www.insurancejournal.com/news/international/2026/09/01/883555.htm</t>
        </is>
      </c>
      <c r="I162" t="inlineStr">
        <is>
          <t>2026-09-01</t>
        </is>
      </c>
    </row>
    <row r="163">
      <c r="A163" t="inlineStr">
        <is>
          <t>2026-09-08</t>
        </is>
      </c>
      <c r="B163" t="inlineStr">
        <is>
          <t>Property &amp; Casualty</t>
        </is>
      </c>
      <c r="C163" t="inlineStr">
        <is>
          <t>Regulatory &amp; Policy</t>
        </is>
      </c>
      <c r="D163" t="inlineStr">
        <is>
          <t>UK/Europe</t>
        </is>
      </c>
      <c r="E163" t="inlineStr">
        <is>
          <t>UK insurers now subject to FCA's tougher non-financial misconduct rules</t>
        </is>
      </c>
      <c r="F163" t="inlineStr">
        <is>
          <t>As of September 1, 2026, the Financial Conduct Authority requires insurance firms to treat serious workplace bullying, harassment, and violence as potential regulatory breaches, bringing insurers into line with banking-sector conduct standards.</t>
        </is>
      </c>
      <c r="G163" t="inlineStr">
        <is>
          <t>The Insurer</t>
        </is>
      </c>
      <c r="H163" t="inlineStr">
        <is>
          <t>https://www.theinsurer.com/ti/news/insurance-firms-in-focus-as-fca-non-financial-misconduct-rules-come-into-force-2026-09-01/</t>
        </is>
      </c>
      <c r="I163" t="inlineStr">
        <is>
          <t>2026-09-01</t>
        </is>
      </c>
    </row>
    <row r="164">
      <c r="A164" t="inlineStr">
        <is>
          <t>2026-09-08</t>
        </is>
      </c>
      <c r="B164" t="inlineStr">
        <is>
          <t>BrokerTech</t>
        </is>
      </c>
      <c r="C164" t="inlineStr">
        <is>
          <t>Technology &amp; AI</t>
        </is>
      </c>
      <c r="D164" t="inlineStr">
        <is>
          <t>United States</t>
        </is>
      </c>
      <c r="E164" t="inlineStr">
        <is>
          <t>BrokerTech Ventures brings insurance and insurtech leaders together at Chicago summit</t>
        </is>
      </c>
      <c r="F164" t="inlineStr">
        <is>
          <t>BrokerTech Ventures held its second annual BrokerTech Connect conference in Chicago on September 1-2, 2026, gathering brokerage, carrier, and startup executives to discuss emerging distribution technology and partnership opportunities.</t>
        </is>
      </c>
      <c r="G164" t="inlineStr">
        <is>
          <t>Holmes Murphy</t>
        </is>
      </c>
      <c r="H164" t="inlineStr">
        <is>
          <t>https://www.holmesmurphy.com/news/brokertech-ventures-announces-brokertech-connect-chicago-2026-bringing-together-insurance-and-insurtech-leaders/</t>
        </is>
      </c>
      <c r="I164" t="inlineStr">
        <is>
          <t>2026-09-01</t>
        </is>
      </c>
    </row>
    <row r="165">
      <c r="A165" t="inlineStr">
        <is>
          <t>2026-09-08</t>
        </is>
      </c>
      <c r="B165" t="inlineStr">
        <is>
          <t>Life &amp; Annuities</t>
        </is>
      </c>
      <c r="C165" t="inlineStr">
        <is>
          <t>Technology &amp; AI</t>
        </is>
      </c>
      <c r="D165" t="inlineStr">
        <is>
          <t>India</t>
        </is>
      </c>
      <c r="E165" t="inlineStr">
        <is>
          <t>India's insurers reposition around prevention and AI-driven personalization</t>
        </is>
      </c>
      <c r="F165" t="inlineStr">
        <is>
          <t>Coverage of India's evolving insurance market describes a shift from viewing insurance as a mandatory expense toward AI-enabled, prevention-focused products that blend protection with wealth-building and health management.</t>
        </is>
      </c>
      <c r="G165" t="inlineStr">
        <is>
          <t>Whalesbook</t>
        </is>
      </c>
      <c r="H165" t="inlineStr">
        <is>
          <t>https://www.whalesbook.com/news/English/Other/Indias-Insurance-Shake-up-2026-to-See-Prevention-and-AI-Redefine-Your-Coverage/695258034342f77179dc973e</t>
        </is>
      </c>
      <c r="I165" t="inlineStr">
        <is>
          <t>2026-09-01</t>
        </is>
      </c>
    </row>
    <row r="166">
      <c r="A166" t="inlineStr">
        <is>
          <t>2026-09-08</t>
        </is>
      </c>
      <c r="B166" t="inlineStr">
        <is>
          <t>Brokers &amp; MGA/GA</t>
        </is>
      </c>
      <c r="C166" t="inlineStr">
        <is>
          <t>People &amp; Leadership</t>
        </is>
      </c>
      <c r="D166" t="inlineStr">
        <is>
          <t>Global</t>
        </is>
      </c>
      <c r="E166" t="inlineStr">
        <is>
          <t>Insurance industry sees wave of September leadership moves at AIG, Allianz Trade, and Marsh</t>
        </is>
      </c>
      <c r="F166" t="inlineStr">
        <is>
          <t>A roundup of executive appointments effective around September 1, 2026 includes AIG naming a new global chief underwriting officer, Allianz Trade appointing a new China CEO, and Marsh naming a global chief claims officer.</t>
        </is>
      </c>
      <c r="G166" t="inlineStr">
        <is>
          <t>Insurance-Edge.net</t>
        </is>
      </c>
      <c r="H166" t="inlineStr">
        <is>
          <t>https://insurance-edge.net/2026/09/01/job-moves-and-senior-appointments-01-09-2026/</t>
        </is>
      </c>
      <c r="I166" t="inlineStr">
        <is>
          <t>2026-09-01</t>
        </is>
      </c>
    </row>
    <row r="167">
      <c r="A167" t="inlineStr">
        <is>
          <t>2026-09-08</t>
        </is>
      </c>
      <c r="B167" t="inlineStr">
        <is>
          <t>Brokers &amp; MGA/GA</t>
        </is>
      </c>
      <c r="C167" t="inlineStr">
        <is>
          <t>Market Economics</t>
        </is>
      </c>
      <c r="D167" t="inlineStr">
        <is>
          <t>UK/Europe</t>
        </is>
      </c>
      <c r="E167" t="inlineStr">
        <is>
          <t>New platform launches to help UK brokers expand across Europe</t>
        </is>
      </c>
      <c r="F167" t="inlineStr">
        <is>
          <t>A newly launched platform is aimed at UK insurance brokers seeking to expand into continental Europe, addressing rising demand for cross-border compliance and commercial support as broking consolidation continues.</t>
        </is>
      </c>
      <c r="G167" t="inlineStr">
        <is>
          <t>Insurance Times</t>
        </is>
      </c>
      <c r="H167" t="inlineStr">
        <is>
          <t>https://www.insurancetimes.co.uk/news/new-platform-supporting-uk-brokers-expanding-across-europe-launched/1458723.article</t>
        </is>
      </c>
      <c r="I167" t="inlineStr">
        <is>
          <t>2026-09-03</t>
        </is>
      </c>
    </row>
    <row r="168">
      <c r="A168" t="inlineStr">
        <is>
          <t>2026-09-08</t>
        </is>
      </c>
      <c r="B168" t="inlineStr">
        <is>
          <t>FinTech</t>
        </is>
      </c>
      <c r="C168" t="inlineStr">
        <is>
          <t>Technology &amp; AI</t>
        </is>
      </c>
      <c r="D168" t="inlineStr">
        <is>
          <t>Global</t>
        </is>
      </c>
      <c r="E168" t="inlineStr">
        <is>
          <t>Underwriting data seen as key weapon against rising insurance fraud</t>
        </is>
      </c>
      <c r="F168" t="inlineStr">
        <is>
          <t>Industry analysis argues that better use of underwriting data, combined with RegTech partnerships for real-time monitoring, is becoming essential for insurers trying to close historically siloed gaps in fraud and financial-crime detection.</t>
        </is>
      </c>
      <c r="G168" t="inlineStr">
        <is>
          <t>FinTech Global</t>
        </is>
      </c>
      <c r="H168" t="inlineStr">
        <is>
          <t>https://fintech.global/2026/09/04/why-underwriting-data-holds-the-key-to-stopping-insurance-fraud/</t>
        </is>
      </c>
      <c r="I168" t="inlineStr">
        <is>
          <t>2026-09-04</t>
        </is>
      </c>
    </row>
    <row r="169">
      <c r="A169" t="inlineStr">
        <is>
          <t>2026-09-08</t>
        </is>
      </c>
      <c r="B169" t="inlineStr">
        <is>
          <t>Property &amp; Casualty</t>
        </is>
      </c>
      <c r="C169" t="inlineStr">
        <is>
          <t>Market Economics</t>
        </is>
      </c>
      <c r="D169" t="inlineStr">
        <is>
          <t>Global</t>
        </is>
      </c>
      <c r="E169" t="inlineStr">
        <is>
          <t>Cyber insurance premiums set to reach $16.4 billion in 2026 even as rates keep falling</t>
        </is>
      </c>
      <c r="F169" t="inlineStr">
        <is>
          <t>Global cyber insurance premium is on pace to hit $16.4 billion in 2026, but pricing has now declined for a fourth straight year, and modelers warn a single major malware event could generate losses equal to a full year of global cyber premium.</t>
        </is>
      </c>
      <c r="G169" t="inlineStr">
        <is>
          <t>Insurance Business Magazine</t>
        </is>
      </c>
      <c r="H169" t="inlineStr">
        <is>
          <t>https://www.insurancebusinessmag.com/reinsurance/news/breaking-news/cybers-great-contradiction-surging-risk-meets-recordlow-pricing-567504.aspx</t>
        </is>
      </c>
      <c r="I169" t="inlineStr">
        <is>
          <t>2026-09-05</t>
        </is>
      </c>
    </row>
    <row r="170">
      <c r="A170" t="inlineStr">
        <is>
          <t>2026-09-08</t>
        </is>
      </c>
      <c r="B170" t="inlineStr">
        <is>
          <t>Insurtech</t>
        </is>
      </c>
      <c r="C170" t="inlineStr">
        <is>
          <t>Technology &amp; AI</t>
        </is>
      </c>
      <c r="D170" t="inlineStr">
        <is>
          <t>Global</t>
        </is>
      </c>
      <c r="E170" t="inlineStr">
        <is>
          <t>AI moves from pilot to core infrastructure across the insurtech stack</t>
        </is>
      </c>
      <c r="F170" t="inlineStr">
        <is>
          <t>A weekly industry roundup describes insurtech's current phase as 'AI eating the stack,' with underwriting software increasingly rebuilt around AI-native platforms rather than bolted-on features.</t>
        </is>
      </c>
      <c r="G170" t="inlineStr">
        <is>
          <t>FinanceX Magazine</t>
        </is>
      </c>
      <c r="H170" t="inlineStr">
        <is>
          <t>https://www.financexmagazine.com/post/ai-eats-the-insurtech-stack-the-week-that-turned-underwriters-into-software-companies</t>
        </is>
      </c>
      <c r="I170" t="inlineStr">
        <is>
          <t>2026-09-05</t>
        </is>
      </c>
    </row>
    <row r="171">
      <c r="A171" t="inlineStr">
        <is>
          <t>2026-09-08</t>
        </is>
      </c>
      <c r="B171" t="inlineStr">
        <is>
          <t>Property &amp; Casualty</t>
        </is>
      </c>
      <c r="C171" t="inlineStr">
        <is>
          <t>Market Economics</t>
        </is>
      </c>
      <c r="D171" t="inlineStr">
        <is>
          <t>Global</t>
        </is>
      </c>
      <c r="E171" t="inlineStr">
        <is>
          <t>Reinsurers at Monte Carlo RVS 2026 shift cyber-risk focus toward systemic accumulation</t>
        </is>
      </c>
      <c r="F171" t="inlineStr">
        <is>
          <t>At the Rendez-Vous de Septembre reinsurance gathering, Ariel Re executives said the cyber market's focus is moving from raw capacity toward guarding against clustered, common-cause losses as cyber risk becomes increasingly systemic.</t>
        </is>
      </c>
      <c r="G171" t="inlineStr">
        <is>
          <t>Reinsurance News</t>
        </is>
      </c>
      <c r="H171" t="inlineStr">
        <is>
          <t>https://www.reinsurancene.ws/cyber-reinsurance-market-to-shift-focus-to-strategic-deployment-ariel-res-carr/</t>
        </is>
      </c>
      <c r="I171" t="inlineStr">
        <is>
          <t>2026-09-07</t>
        </is>
      </c>
    </row>
    <row r="172">
      <c r="A172" t="inlineStr">
        <is>
          <t>2026-09-08</t>
        </is>
      </c>
      <c r="B172" t="inlineStr">
        <is>
          <t>Brokers &amp; MGA/GA</t>
        </is>
      </c>
      <c r="C172" t="inlineStr">
        <is>
          <t>M&amp;A</t>
        </is>
      </c>
      <c r="D172" t="inlineStr">
        <is>
          <t>UK/Europe</t>
        </is>
      </c>
      <c r="E172" t="inlineStr">
        <is>
          <t>EQT to acquire specialty broker McGill and Partners in $2 billion deal</t>
        </is>
      </c>
      <c r="F172" t="inlineStr">
        <is>
          <t>Private equity firm EQT has agreed to acquire technology-enabled specialty (re)insurance broker McGill and Partners for roughly $2 billion, aiming to accelerate its data and AI-led growth strategy.</t>
        </is>
      </c>
      <c r="G172" t="inlineStr">
        <is>
          <t>FinTech Global</t>
        </is>
      </c>
      <c r="H172" t="inlineStr">
        <is>
          <t>https://fintech.global/2026/09/07/eqt-bets-on-tech-enabled-insurance-broker-in-2bn-mcgill-deal/</t>
        </is>
      </c>
      <c r="I172" t="inlineStr">
        <is>
          <t>2026-09-07</t>
        </is>
      </c>
    </row>
    <row r="173">
      <c r="A173" t="inlineStr">
        <is>
          <t>2026-09-08</t>
        </is>
      </c>
      <c r="B173" t="inlineStr">
        <is>
          <t>Insurtech</t>
        </is>
      </c>
      <c r="C173" t="inlineStr">
        <is>
          <t>People &amp; Leadership</t>
        </is>
      </c>
      <c r="D173" t="inlineStr">
        <is>
          <t>APAC</t>
        </is>
      </c>
      <c r="E173" t="inlineStr">
        <is>
          <t>Singapore to host InsurInnovator Connect Asia 2026 as regional insurtech hub activity builds</t>
        </is>
      </c>
      <c r="F173" t="inlineStr">
        <is>
          <t>InsurInnovator Connect Asia 2026 convenes in Singapore on September 23-24, bringing together Asia's insurance leaders for sessions spanning AI, bancassurance, distribution, underwriting, and claims.</t>
        </is>
      </c>
      <c r="G173" t="inlineStr">
        <is>
          <t>SZW Group</t>
        </is>
      </c>
      <c r="H173" t="inlineStr">
        <is>
          <t>https://www.szwgroup.com/iic-asia-pacific/</t>
        </is>
      </c>
      <c r="I173" t="inlineStr">
        <is>
          <t>2026-09-23</t>
        </is>
      </c>
    </row>
    <row r="174">
      <c r="A174" t="inlineStr">
        <is>
          <t>2026-09-09</t>
        </is>
      </c>
      <c r="B174" t="inlineStr">
        <is>
          <t>Health Insurance / Payer</t>
        </is>
      </c>
      <c r="C174" t="inlineStr">
        <is>
          <t>Regulatory &amp; Policy</t>
        </is>
      </c>
      <c r="D174" t="inlineStr">
        <is>
          <t>United States</t>
        </is>
      </c>
      <c r="E174" t="inlineStr">
        <is>
          <t>Bipartisan House bill would require physician sign-off on AI-driven Medicare Advantage denials</t>
        </is>
      </c>
      <c r="F174" t="inlineStr">
        <is>
          <t>Representatives Greg Murphy and Herb Conaway introduced legislation requiring a qualified physician to review and approve any AI-assisted Medicare Advantage coverage denial, with the plan's medical director attesting the decision reflected independent medical judgment.</t>
        </is>
      </c>
      <c r="G174" t="inlineStr">
        <is>
          <t>LeadingAge</t>
        </is>
      </c>
      <c r="H174" t="inlineStr">
        <is>
          <t>https://leadingage.org/new-bill-aims-to-rein-in-ai-driven-ma-prior-authorization-denials/</t>
        </is>
      </c>
      <c r="I174" t="inlineStr">
        <is>
          <t>2026-07-16</t>
        </is>
      </c>
    </row>
    <row r="175">
      <c r="A175" t="inlineStr">
        <is>
          <t>2026-09-09</t>
        </is>
      </c>
      <c r="B175" t="inlineStr">
        <is>
          <t>Insurtech</t>
        </is>
      </c>
      <c r="C175" t="inlineStr">
        <is>
          <t>Investments &amp; Funding</t>
        </is>
      </c>
      <c r="D175" t="inlineStr">
        <is>
          <t>United States</t>
        </is>
      </c>
      <c r="E175" t="inlineStr">
        <is>
          <t>Insurtech Corgi reportedly raises again at $4 billion valuation, its third round in eight weeks</t>
        </is>
      </c>
      <c r="F175" t="inlineStr">
        <is>
          <t>AI-native startup carrier Corgi reportedly raised fresh capital at a $4 billion valuation, marking its third funding round in eight weeks as investors race to back full-stack insurance platforms built for startups.</t>
        </is>
      </c>
      <c r="G175" t="inlineStr">
        <is>
          <t>TechCrunch</t>
        </is>
      </c>
      <c r="H175" t="inlineStr">
        <is>
          <t>https://techcrunch.com/2026/07/23/insurance-startup-corgi-reportedly-raised-more-money-at-4b-its-third-round-in-eight-weeks/</t>
        </is>
      </c>
      <c r="I175" t="inlineStr">
        <is>
          <t>2026-07-23</t>
        </is>
      </c>
    </row>
    <row r="176">
      <c r="A176" t="inlineStr">
        <is>
          <t>2026-09-09</t>
        </is>
      </c>
      <c r="B176" t="inlineStr">
        <is>
          <t>Brokers &amp; MGA/GA</t>
        </is>
      </c>
      <c r="C176" t="inlineStr">
        <is>
          <t>Technology &amp; AI</t>
        </is>
      </c>
      <c r="D176" t="inlineStr">
        <is>
          <t>UK/Europe</t>
        </is>
      </c>
      <c r="E176" t="inlineStr">
        <is>
          <t>NatWest partners with insurtech Uinsure to deliver home insurance quotes in under a minute</t>
        </is>
      </c>
      <c r="F176" t="inlineStr">
        <is>
          <t>NatWest launched an exclusive home insurance proposition with insurtech Uinsure offering sub-minute quotes from a panel of top UK insurers, alongside a new in-app tracker that alerts customers when better-value cover becomes available.</t>
        </is>
      </c>
      <c r="G176" t="inlineStr">
        <is>
          <t>Finextra</t>
        </is>
      </c>
      <c r="H176" t="inlineStr">
        <is>
          <t>https://www.finextra.com/newsarticle/48165/natwest-teams-with-uinsure-to-deliver-home-insurance-quotes-in-seconds</t>
        </is>
      </c>
      <c r="I176" t="inlineStr">
        <is>
          <t>2026-07-28</t>
        </is>
      </c>
    </row>
    <row r="177">
      <c r="A177" t="inlineStr">
        <is>
          <t>2026-09-09</t>
        </is>
      </c>
      <c r="B177" t="inlineStr">
        <is>
          <t>Retirement</t>
        </is>
      </c>
      <c r="C177" t="inlineStr">
        <is>
          <t>Regulatory &amp; Policy</t>
        </is>
      </c>
      <c r="D177" t="inlineStr">
        <is>
          <t>United States</t>
        </is>
      </c>
      <c r="E177" t="inlineStr">
        <is>
          <t>403(b) fee lawsuits keep spreading to plan sponsors as ERISA litigation wave persists</t>
        </is>
      </c>
      <c r="F177" t="inlineStr">
        <is>
          <t>Plaintiffs' firms continue extending a decade-long wave of 401(k) excessive-fee litigation into 403(b) plans, alleging sponsors failed to follow prudent processes for overseeing recordkeeping fees and fund menus.</t>
        </is>
      </c>
      <c r="G177" t="inlineStr">
        <is>
          <t>PLANSPONSOR</t>
        </is>
      </c>
      <c r="H177" t="inlineStr">
        <is>
          <t>https://www.plansponsor.com/403b-plan-sponsor-sued-excessive-fees-underperforming-investments/</t>
        </is>
      </c>
      <c r="I177" t="inlineStr">
        <is>
          <t>2026-08-01</t>
        </is>
      </c>
    </row>
    <row r="178">
      <c r="A178" t="inlineStr">
        <is>
          <t>2026-09-09</t>
        </is>
      </c>
      <c r="B178" t="inlineStr">
        <is>
          <t>BrokerTech</t>
        </is>
      </c>
      <c r="C178" t="inlineStr">
        <is>
          <t>Technology &amp; AI</t>
        </is>
      </c>
      <c r="D178" t="inlineStr">
        <is>
          <t>United States</t>
        </is>
      </c>
      <c r="E178" t="inlineStr">
        <is>
          <t>Vertafore earns fifth straight 5-Star rating for AI-driven agency and MGA technology</t>
        </is>
      </c>
      <c r="F178" t="inlineStr">
        <is>
          <t>Vertafore was recognized for the fifth consecutive year as a 5-Star Technology and Software Provider, citing its Velocity AI Platform and AI agents that speed up workflows for agencies, MGAs and carriers.</t>
        </is>
      </c>
      <c r="G178" t="inlineStr">
        <is>
          <t>PR Newswire</t>
        </is>
      </c>
      <c r="H178" t="inlineStr">
        <is>
          <t>https://www.prnewswire.com/news-releases/vertafore-named-a-5-star-technology-and-software-provider-for-core-digital-systems-and-specialized-ai-built-for-the-way-agencies-mgas-and-carriers-work-302842575.html</t>
        </is>
      </c>
      <c r="I178" t="inlineStr">
        <is>
          <t>2026-08-01</t>
        </is>
      </c>
    </row>
    <row r="179">
      <c r="A179" t="inlineStr">
        <is>
          <t>2026-09-09</t>
        </is>
      </c>
      <c r="B179" t="inlineStr">
        <is>
          <t>Investments</t>
        </is>
      </c>
      <c r="C179" t="inlineStr">
        <is>
          <t>M&amp;A</t>
        </is>
      </c>
      <c r="D179" t="inlineStr">
        <is>
          <t>APAC</t>
        </is>
      </c>
      <c r="E179" t="inlineStr">
        <is>
          <t>Allianz Global Investors completes €376 million acquisition of UOB Asset Management</t>
        </is>
      </c>
      <c r="F179" t="inlineStr">
        <is>
          <t>AllianzGI agreed to acquire Singapore's UOB Asset Management, adding roughly S$42 billion in assets and forming a long-term distribution partnership with UOB to reach the bank's more than eight million regional customers.</t>
        </is>
      </c>
      <c r="G179" t="inlineStr">
        <is>
          <t>Allianz Global Investors</t>
        </is>
      </c>
      <c r="H179" t="inlineStr">
        <is>
          <t>https://www.allianzgi.com/en/press-centre/media/press-releases/20260805-agi-accelerates-growth-path-in-ap-with-agreement-to-acquire-uobam</t>
        </is>
      </c>
      <c r="I179" t="inlineStr">
        <is>
          <t>2026-08-05</t>
        </is>
      </c>
    </row>
    <row r="180">
      <c r="A180" t="inlineStr">
        <is>
          <t>2026-09-09</t>
        </is>
      </c>
      <c r="B180" t="inlineStr">
        <is>
          <t>Investments</t>
        </is>
      </c>
      <c r="C180" t="inlineStr">
        <is>
          <t>Investments &amp; Funding</t>
        </is>
      </c>
      <c r="D180" t="inlineStr">
        <is>
          <t>United States</t>
        </is>
      </c>
      <c r="E180" t="inlineStr">
        <is>
          <t>Target-date funds near $5 trillion as plans add lifetime-income and private-market features</t>
        </is>
      </c>
      <c r="F180" t="inlineStr">
        <is>
          <t>With assets nearing $5 trillion, target-date funds are being redesigned around personalization, embedded guaranteed-income options, and growing exposure to private markets within employer retirement plans.</t>
        </is>
      </c>
      <c r="G180" t="inlineStr">
        <is>
          <t>Great Gray Trust Company</t>
        </is>
      </c>
      <c r="H180" t="inlineStr">
        <is>
          <t>https://greatgray.com/innovation-in-target-date-funds-2026/</t>
        </is>
      </c>
      <c r="I180" t="inlineStr">
        <is>
          <t>2026-08-05</t>
        </is>
      </c>
    </row>
    <row r="181">
      <c r="A181" t="inlineStr">
        <is>
          <t>2026-09-09</t>
        </is>
      </c>
      <c r="B181" t="inlineStr">
        <is>
          <t>TPA</t>
        </is>
      </c>
      <c r="C181" t="inlineStr">
        <is>
          <t>Regulatory &amp; Policy</t>
        </is>
      </c>
      <c r="D181" t="inlineStr">
        <is>
          <t>UK/Europe</t>
        </is>
      </c>
      <c r="E181" t="inlineStr">
        <is>
          <t>Sedgwick report finds FCA claims oversight and AI governance atop UK regulatory agenda</t>
        </is>
      </c>
      <c r="F181" t="inlineStr">
        <is>
          <t>Sedgwick's 2026 Claims Administration Intelligence Report finds the UK's FCA has placed claims outcomes and oversight of outsourced and delegated arrangements at the top of its regulatory agenda, keeping accountability with principal insurers even when claims are outsourced.</t>
        </is>
      </c>
      <c r="G181" t="inlineStr">
        <is>
          <t>Sedgwick</t>
        </is>
      </c>
      <c r="H181" t="inlineStr">
        <is>
          <t>https://www.sedgwick.com/press-release/sedgwick-leads-the-conversation-on-the-future-of-claims-in-the-uk/</t>
        </is>
      </c>
      <c r="I181" t="inlineStr">
        <is>
          <t>2026-08-05</t>
        </is>
      </c>
    </row>
    <row r="182">
      <c r="A182" t="inlineStr">
        <is>
          <t>2026-09-09</t>
        </is>
      </c>
      <c r="B182" t="inlineStr">
        <is>
          <t>Life &amp; Annuities</t>
        </is>
      </c>
      <c r="C182" t="inlineStr">
        <is>
          <t>Market Economics</t>
        </is>
      </c>
      <c r="D182" t="inlineStr">
        <is>
          <t>United States</t>
        </is>
      </c>
      <c r="E182" t="inlineStr">
        <is>
          <t>Fixed and indexed annuities poised for meaningful growth as pre-retirees seek shelter from volatility</t>
        </is>
      </c>
      <c r="F182" t="inlineStr">
        <is>
          <t>Market outlooks anticipate a meaningful uptick in fixed and indexed annuity sales through 2026, particularly among consumers within five to ten years of retirement looking to shelter savings from rate and policy uncertainty.</t>
        </is>
      </c>
      <c r="G182" t="inlineStr">
        <is>
          <t>InsuranceNewsNet</t>
        </is>
      </c>
      <c r="H182" t="inlineStr">
        <is>
          <t>https://insurancenewsnet.com/innarticle/what-will-2026-bring-to-the-life-annuity-markets</t>
        </is>
      </c>
      <c r="I182" t="inlineStr">
        <is>
          <t>2026-08-10</t>
        </is>
      </c>
    </row>
    <row r="183">
      <c r="A183" t="inlineStr">
        <is>
          <t>2026-09-09</t>
        </is>
      </c>
      <c r="B183" t="inlineStr">
        <is>
          <t>Brokers &amp; MGA/GA</t>
        </is>
      </c>
      <c r="C183" t="inlineStr">
        <is>
          <t>M&amp;A</t>
        </is>
      </c>
      <c r="D183" t="inlineStr">
        <is>
          <t>United States</t>
        </is>
      </c>
      <c r="E183" t="inlineStr">
        <is>
          <t>MGA deal-making accelerates as scale and specialization drive platform combinations</t>
        </is>
      </c>
      <c r="F183" t="inlineStr">
        <is>
          <t>Managing general agency deal volume is climbing as larger platforms pursue scale and specialty carve-outs, with specialty P&amp;C carriers and E&amp;S business continuing to drive overall insurance M&amp;A activity.</t>
        </is>
      </c>
      <c r="G183" t="inlineStr">
        <is>
          <t>Risk &amp; Insurance</t>
        </is>
      </c>
      <c r="H183" t="inlineStr">
        <is>
          <t>https://riskandinsurance.com/mga-deals-surge-as-scale-and-specialization-drive-growth/</t>
        </is>
      </c>
      <c r="I183" t="inlineStr">
        <is>
          <t>2026-08-10</t>
        </is>
      </c>
    </row>
    <row r="184">
      <c r="A184" t="inlineStr">
        <is>
          <t>2026-09-09</t>
        </is>
      </c>
      <c r="B184" t="inlineStr">
        <is>
          <t>TPA</t>
        </is>
      </c>
      <c r="C184" t="inlineStr">
        <is>
          <t>Technology &amp; AI</t>
        </is>
      </c>
      <c r="D184" t="inlineStr">
        <is>
          <t>United States</t>
        </is>
      </c>
      <c r="E184" t="inlineStr">
        <is>
          <t>Gallagher Bassett warns of a ‘structural’ shift in claims costs as AI adoption accelerates</t>
        </is>
      </c>
      <c r="F184" t="inlineStr">
        <is>
          <t>Gallagher Bassett's 2026 Carrier Perspective report finds North American insurers facing a structural, not cyclical, shift in claims costs as social and medical inflation, catastrophe losses and rapid AI adoption converge.</t>
        </is>
      </c>
      <c r="G184" t="inlineStr">
        <is>
          <t>Insurance Business</t>
        </is>
      </c>
      <c r="H184" t="inlineStr">
        <is>
          <t>https://www.insurancebusinessmag.com/us/news/breaking-news/north-american-carriers-warned-of-structural-claims-cost-shift-in-2026-gallagher-bassett-study-565555.aspx</t>
        </is>
      </c>
      <c r="I184" t="inlineStr">
        <is>
          <t>2026-08-12</t>
        </is>
      </c>
    </row>
    <row r="185">
      <c r="A185" t="inlineStr">
        <is>
          <t>2026-09-09</t>
        </is>
      </c>
      <c r="B185" t="inlineStr">
        <is>
          <t>Insurtech</t>
        </is>
      </c>
      <c r="C185" t="inlineStr">
        <is>
          <t>Investments &amp; Funding</t>
        </is>
      </c>
      <c r="D185" t="inlineStr">
        <is>
          <t>Global</t>
        </is>
      </c>
      <c r="E185" t="inlineStr">
        <is>
          <t>Insurtech funding tops $3 billion in 2026 as AI-native platforms dominate deal flow</t>
        </is>
      </c>
      <c r="F185" t="inlineStr">
        <is>
          <t>Total insurtech funding has reached roughly $3 billion in 2026 to date, with AI-focused companies capturing the overwhelming majority of venture dollars as round sizes climb well above 2025 levels.</t>
        </is>
      </c>
      <c r="G185" t="inlineStr">
        <is>
          <t>InsurTech NY</t>
        </is>
      </c>
      <c r="H185" t="inlineStr">
        <is>
          <t>https://www.insurtechny.com/insurtech-trends-2026-ai-insurance-startups/</t>
        </is>
      </c>
      <c r="I185" t="inlineStr">
        <is>
          <t>2026-08-15</t>
        </is>
      </c>
    </row>
    <row r="186">
      <c r="A186" t="inlineStr">
        <is>
          <t>2026-09-09</t>
        </is>
      </c>
      <c r="B186" t="inlineStr">
        <is>
          <t>Health Insurance / Payer</t>
        </is>
      </c>
      <c r="C186" t="inlineStr">
        <is>
          <t>Market Economics</t>
        </is>
      </c>
      <c r="D186" t="inlineStr">
        <is>
          <t>United States</t>
        </is>
      </c>
      <c r="E186" t="inlineStr">
        <is>
          <t>Elevance Health becomes latest insurer to trim 2026 revenue expectations amid cost pressure</t>
        </is>
      </c>
      <c r="F186" t="inlineStr">
        <is>
          <t>Elevance Health lowered its 2026 revenue expectations, joining other national payers in signaling continued cost pressure even as some insurers point to improving medical-loss-ratio trends heading into year-end.</t>
        </is>
      </c>
      <c r="G186" t="inlineStr">
        <is>
          <t>Healthcare Finance News</t>
        </is>
      </c>
      <c r="H186" t="inlineStr">
        <is>
          <t>https://www.healthcarefinancenews.com/news/elevance-health-latest-health-insurer-lower-2026-revenue-expectations</t>
        </is>
      </c>
      <c r="I186" t="inlineStr">
        <is>
          <t>2026-08-15</t>
        </is>
      </c>
    </row>
    <row r="187">
      <c r="A187" t="inlineStr">
        <is>
          <t>2026-09-09</t>
        </is>
      </c>
      <c r="B187" t="inlineStr">
        <is>
          <t>Retirement</t>
        </is>
      </c>
      <c r="C187" t="inlineStr">
        <is>
          <t>M&amp;A</t>
        </is>
      </c>
      <c r="D187" t="inlineStr">
        <is>
          <t>United States</t>
        </is>
      </c>
      <c r="E187" t="inlineStr">
        <is>
          <t>OneAmerica's sale to Voya intensifies consolidation pressure on mid-tier 401(k) recordkeepers</t>
        </is>
      </c>
      <c r="F187" t="inlineStr">
        <is>
          <t>Industry analysis points to OneAmerica's sale to Voya as accelerating scale pressure on smaller, regional retirement recordkeepers already squeezed by falling fees and rising technology and staffing costs.</t>
        </is>
      </c>
      <c r="G187" t="inlineStr">
        <is>
          <t>401kTV</t>
        </is>
      </c>
      <c r="H187" t="inlineStr">
        <is>
          <t>https://401ktv.com/the-next-wave-of-401k-record-keeper-consolidation/</t>
        </is>
      </c>
      <c r="I187" t="inlineStr">
        <is>
          <t>2026-08-20</t>
        </is>
      </c>
    </row>
    <row r="188">
      <c r="A188" t="inlineStr">
        <is>
          <t>2026-09-09</t>
        </is>
      </c>
      <c r="B188" t="inlineStr">
        <is>
          <t>Property &amp; Casualty</t>
        </is>
      </c>
      <c r="C188" t="inlineStr">
        <is>
          <t>Regulatory &amp; Policy</t>
        </is>
      </c>
      <c r="D188" t="inlineStr">
        <is>
          <t>APAC</t>
        </is>
      </c>
      <c r="E188" t="inlineStr">
        <is>
          <t>Hong Kong's Insurance Authority closes consultation on risk-based capital reforms favoring infrastructure investment</t>
        </is>
      </c>
      <c r="F188" t="inlineStr">
        <is>
          <t>Hong Kong's Insurance Authority closed a consultation on revisions to its Risk-Based Capital framework that would give insurers preferential capital treatment for qualifying infrastructure investments, targeting a December 31, 2026 implementation date.</t>
        </is>
      </c>
      <c r="G188" t="inlineStr">
        <is>
          <t>Insurance Business Asia</t>
        </is>
      </c>
      <c r="H188" t="inlineStr">
        <is>
          <t>https://www.insurancebusinessmag.com/asia/news/breaking-news/hong-kong-closes-rbc-consultation-to-push-insurers-into-infrastructure-574753.aspx</t>
        </is>
      </c>
      <c r="I188" t="inlineStr">
        <is>
          <t>2026-08-20</t>
        </is>
      </c>
    </row>
    <row r="189">
      <c r="A189" t="inlineStr">
        <is>
          <t>2026-09-09</t>
        </is>
      </c>
      <c r="B189" t="inlineStr">
        <is>
          <t>Property &amp; Casualty</t>
        </is>
      </c>
      <c r="C189" t="inlineStr">
        <is>
          <t>Technology &amp; AI</t>
        </is>
      </c>
      <c r="D189" t="inlineStr">
        <is>
          <t>Global</t>
        </is>
      </c>
      <c r="E189" t="inlineStr">
        <is>
          <t>Cyber insurers roll out ‘AI security riders’ as autonomous agents reshape risk pricing</t>
        </is>
      </c>
      <c r="F189" t="inlineStr">
        <is>
          <t>With global cyber premium on track to reach $16.4 billion in 2026, carriers are introducing AI-security riders requiring proof of red-teaming and reassessing how policies respond to risks from an organization's own autonomous AI systems.</t>
        </is>
      </c>
      <c r="G189" t="inlineStr">
        <is>
          <t>Risk &amp; Insurance</t>
        </is>
      </c>
      <c r="H189" t="inlineStr">
        <is>
          <t>https://riskandinsurance.com/cyber-insurance-at-a-crossroads-ai-reshapes-risk-as-market-growth-stays-steady/</t>
        </is>
      </c>
      <c r="I189" t="inlineStr">
        <is>
          <t>2026-08-25</t>
        </is>
      </c>
    </row>
    <row r="190">
      <c r="A190" t="inlineStr">
        <is>
          <t>2026-09-09</t>
        </is>
      </c>
      <c r="B190" t="inlineStr">
        <is>
          <t>Brokers &amp; MGA/GA</t>
        </is>
      </c>
      <c r="C190" t="inlineStr">
        <is>
          <t>M&amp;A</t>
        </is>
      </c>
      <c r="D190" t="inlineStr">
        <is>
          <t>United States</t>
        </is>
      </c>
      <c r="E190" t="inlineStr">
        <is>
          <t>Aon to acquire USI from KKR for $17 billion, building a premier US middle-market platform</t>
        </is>
      </c>
      <c r="F190" t="inlineStr">
        <is>
          <t>Aon agreed to buy the 10th-largest U.S. insurance broker USI from KKR for roughly $17 billion, building on its 2024 NFP acquisition to expand access to the more than $40 billion middle-market segment.</t>
        </is>
      </c>
      <c r="G190" t="inlineStr">
        <is>
          <t>Insurance Journal</t>
        </is>
      </c>
      <c r="H190" t="inlineStr">
        <is>
          <t>https://www.insurancejournal.com/news/national/2026/08/31/883334.htm</t>
        </is>
      </c>
      <c r="I190" t="inlineStr">
        <is>
          <t>2026-08-31</t>
        </is>
      </c>
    </row>
    <row r="191">
      <c r="A191" t="inlineStr">
        <is>
          <t>2026-09-09</t>
        </is>
      </c>
      <c r="B191" t="inlineStr">
        <is>
          <t>Wealth Management</t>
        </is>
      </c>
      <c r="C191" t="inlineStr">
        <is>
          <t>People &amp; Leadership</t>
        </is>
      </c>
      <c r="D191" t="inlineStr">
        <is>
          <t>United States</t>
        </is>
      </c>
      <c r="E191" t="inlineStr">
        <is>
          <t>MAI Capital taps former KeyBank CIO Amy Brady as managing partner to lead AI and growth push</t>
        </is>
      </c>
      <c r="F191" t="inlineStr">
        <is>
          <t>RIA MAI Capital named 30-year financial-services veteran Amy Brady, formerly of KeyBank and Bank of America, as managing partner to drive firmwide AI adoption, technology strategy and enterprise growth.</t>
        </is>
      </c>
      <c r="G191" t="inlineStr">
        <is>
          <t>InvestmentNews</t>
        </is>
      </c>
      <c r="H191" t="inlineStr">
        <is>
          <t>https://www.investmentnews.com/ria-news/mai-capital-names-amy-brady-managing-partner-to-lead-ai-and-growth-push/268017</t>
        </is>
      </c>
      <c r="I191" t="inlineStr">
        <is>
          <t>2026-09-01</t>
        </is>
      </c>
    </row>
    <row r="192">
      <c r="A192" t="inlineStr">
        <is>
          <t>2026-09-09</t>
        </is>
      </c>
      <c r="B192" t="inlineStr">
        <is>
          <t>Healthcare / Provider &amp; Clinical</t>
        </is>
      </c>
      <c r="C192" t="inlineStr">
        <is>
          <t>M&amp;A</t>
        </is>
      </c>
      <c r="D192" t="inlineStr">
        <is>
          <t>United States</t>
        </is>
      </c>
      <c r="E192" t="inlineStr">
        <is>
          <t>Sanford Health finalizes merger with North Memorial Health, entering the Twin Cities market</t>
        </is>
      </c>
      <c r="F192" t="inlineStr">
        <is>
          <t>Sanford Health completed its merger with North Memorial Health under a 10-year Minnesota oversight agreement that includes $600 million in investment commitments and preserves Robbinsdale Hospital as a Level I trauma center.</t>
        </is>
      </c>
      <c r="G192" t="inlineStr">
        <is>
          <t>Chief Healthcare Executive</t>
        </is>
      </c>
      <c r="H192" t="inlineStr">
        <is>
          <t>https://www.chiefhealthcareexecutive.com/view/sanford-health-finalizes-merger-with-north-memorial-health</t>
        </is>
      </c>
      <c r="I192" t="inlineStr">
        <is>
          <t>2026-09-01</t>
        </is>
      </c>
    </row>
    <row r="193">
      <c r="A193" t="inlineStr">
        <is>
          <t>2026-09-09</t>
        </is>
      </c>
      <c r="B193" t="inlineStr">
        <is>
          <t>Healthcare / Provider &amp; Clinical</t>
        </is>
      </c>
      <c r="C193" t="inlineStr">
        <is>
          <t>Regulatory &amp; Policy</t>
        </is>
      </c>
      <c r="D193" t="inlineStr">
        <is>
          <t>UK/Europe</t>
        </is>
      </c>
      <c r="E193" t="inlineStr">
        <is>
          <t>NHS begins phased 2026/27 flu vaccination drive, prioritizing pregnant women and at-risk children first</t>
        </is>
      </c>
      <c r="F193" t="inlineStr">
        <is>
          <t>The NHS opened its 2026/27 flu vaccination programme on September 1 for pregnant women, at-risk children and school-aged children, with the wider adult rollout and a first-time offer to rough sleepers following on October 1.</t>
        </is>
      </c>
      <c r="G193" t="inlineStr">
        <is>
          <t>NHS England</t>
        </is>
      </c>
      <c r="H193" t="inlineStr">
        <is>
          <t>https://www.england.nhs.uk/long-read/flu-vaccination-programme-2026-27/</t>
        </is>
      </c>
      <c r="I193" t="inlineStr">
        <is>
          <t>2026-09-01</t>
        </is>
      </c>
    </row>
    <row r="194">
      <c r="A194" t="inlineStr">
        <is>
          <t>2026-09-09</t>
        </is>
      </c>
      <c r="B194" t="inlineStr">
        <is>
          <t>Property &amp; Casualty</t>
        </is>
      </c>
      <c r="C194" t="inlineStr">
        <is>
          <t>Market Economics</t>
        </is>
      </c>
      <c r="D194" t="inlineStr">
        <is>
          <t>United States</t>
        </is>
      </c>
      <c r="E194" t="inlineStr">
        <is>
          <t>US P&amp;C insurers post $31.7 billion underwriting gain in first half of 2026 as combined ratio improves to 92.7</t>
        </is>
      </c>
      <c r="F194" t="inlineStr">
        <is>
          <t>Verisk and APCIA data show the U.S. property/casualty industry's net underwriting gain nearly tripling year-over-year to $31.7 billion in H1 2026, even as premium growth slowed to 2.1% and casualty lines stayed pressured by rising claim severity.</t>
        </is>
      </c>
      <c r="G194" t="inlineStr">
        <is>
          <t>Insurance Journal</t>
        </is>
      </c>
      <c r="H194" t="inlineStr">
        <is>
          <t>https://www.insurancejournal.com/news/national/2026/09/02/883667.htm</t>
        </is>
      </c>
      <c r="I194" t="inlineStr">
        <is>
          <t>2026-09-02</t>
        </is>
      </c>
    </row>
    <row r="195">
      <c r="A195" t="inlineStr">
        <is>
          <t>2026-09-09</t>
        </is>
      </c>
      <c r="B195" t="inlineStr">
        <is>
          <t>Property &amp; Casualty</t>
        </is>
      </c>
      <c r="C195" t="inlineStr">
        <is>
          <t>People &amp; Leadership</t>
        </is>
      </c>
      <c r="D195" t="inlineStr">
        <is>
          <t>APAC</t>
        </is>
      </c>
      <c r="E195" t="inlineStr">
        <is>
          <t>MSIG Hong Kong names Billy Wong chief underwriting officer after AXA tenure</t>
        </is>
      </c>
      <c r="F195" t="inlineStr">
        <is>
          <t>MSIG Hong Kong appointed Billy Wong as chief underwriting officer effective September 2, bringing nearly two decades of underwriting and portfolio-management experience following an eight-year run as CUO of general insurance at AXA Hong Kong &amp; Macau.</t>
        </is>
      </c>
      <c r="G195" t="inlineStr">
        <is>
          <t>Reinsurance News</t>
        </is>
      </c>
      <c r="H195" t="inlineStr">
        <is>
          <t>https://www.reinsurancene.ws/msig-hong-kong-welcomes-billy-wong-as-cuo/</t>
        </is>
      </c>
      <c r="I195" t="inlineStr">
        <is>
          <t>2026-09-02</t>
        </is>
      </c>
    </row>
    <row r="196">
      <c r="A196" t="inlineStr">
        <is>
          <t>2026-09-09</t>
        </is>
      </c>
      <c r="B196" t="inlineStr">
        <is>
          <t>Healthcare / Provider &amp; Clinical</t>
        </is>
      </c>
      <c r="C196" t="inlineStr">
        <is>
          <t>Technology &amp; AI</t>
        </is>
      </c>
      <c r="D196" t="inlineStr">
        <is>
          <t>United States</t>
        </is>
      </c>
      <c r="E196" t="inlineStr">
        <is>
          <t>OpenAI's Epic integration lets clinicians use ChatGPT for Healthcare to summarize patient records</t>
        </is>
      </c>
      <c r="F196" t="inlineStr">
        <is>
          <t>OpenAI launched an integration with Epic that lets authorized clinicians use ChatGPT for Healthcare to summarize patient records, flag changes, and prepare for visits directly within existing EHR workflows.</t>
        </is>
      </c>
      <c r="G196" t="inlineStr">
        <is>
          <t>HIStalk</t>
        </is>
      </c>
      <c r="H196" t="inlineStr">
        <is>
          <t>https://histalk2.com/2026/09/02/healthcare-ai-news-9-2-26/</t>
        </is>
      </c>
      <c r="I196" t="inlineStr">
        <is>
          <t>2026-09-02</t>
        </is>
      </c>
    </row>
    <row r="197">
      <c r="A197" t="inlineStr">
        <is>
          <t>2026-09-09</t>
        </is>
      </c>
      <c r="B197" t="inlineStr">
        <is>
          <t>Retirement</t>
        </is>
      </c>
      <c r="C197" t="inlineStr">
        <is>
          <t>Market Economics</t>
        </is>
      </c>
      <c r="D197" t="inlineStr">
        <is>
          <t>United States</t>
        </is>
      </c>
      <c r="E197" t="inlineStr">
        <is>
          <t>Average 401(k) balance hits record $155,800 even as more savers tap accounts early</t>
        </is>
      </c>
      <c r="F197" t="inlineStr">
        <is>
          <t>Fidelity's Q2 2026 data shows the average 401(k) balance climbing 13.1% year-over-year to an all-time high, even as a growing share of participants took hardship withdrawals or loans amid financial pressure.</t>
        </is>
      </c>
      <c r="G197" t="inlineStr">
        <is>
          <t>CNBC</t>
        </is>
      </c>
      <c r="H197" t="inlineStr">
        <is>
          <t>https://www.cnbc.com/2026/09/03/401k-ira-retirement-balances-leakage-fidelity.html</t>
        </is>
      </c>
      <c r="I197" t="inlineStr">
        <is>
          <t>2026-09-03</t>
        </is>
      </c>
    </row>
    <row r="198">
      <c r="A198" t="inlineStr">
        <is>
          <t>2026-09-09</t>
        </is>
      </c>
      <c r="B198" t="inlineStr">
        <is>
          <t>Wealth Management</t>
        </is>
      </c>
      <c r="C198" t="inlineStr">
        <is>
          <t>Investments &amp; Funding</t>
        </is>
      </c>
      <c r="D198" t="inlineStr">
        <is>
          <t>Global</t>
        </is>
      </c>
      <c r="E198" t="inlineStr">
        <is>
          <t>WealthTech platform FNZ raises $450 million from existing institutional backers</t>
        </is>
      </c>
      <c r="F198" t="inlineStr">
        <is>
          <t>FNZ, whose platform serves more than 30 million end customers on behalf of financial institutions, secured $450 million in fresh equity from CPP Investments, La Caisse, Generation Investment Management and Motive Partners to fund its transformation programme.</t>
        </is>
      </c>
      <c r="G198" t="inlineStr">
        <is>
          <t>FNZ</t>
        </is>
      </c>
      <c r="H198" t="inlineStr">
        <is>
          <t>https://www.fnz.com/news/fnz-raises-us450-million-from-existing-institutional-shareholders</t>
        </is>
      </c>
      <c r="I198" t="inlineStr">
        <is>
          <t>2026-09-03</t>
        </is>
      </c>
    </row>
    <row r="199">
      <c r="A199" t="inlineStr">
        <is>
          <t>2026-09-09</t>
        </is>
      </c>
      <c r="B199" t="inlineStr">
        <is>
          <t>Brokers &amp; MGA/GA</t>
        </is>
      </c>
      <c r="C199" t="inlineStr">
        <is>
          <t>M&amp;A</t>
        </is>
      </c>
      <c r="D199" t="inlineStr">
        <is>
          <t>UK/Europe</t>
        </is>
      </c>
      <c r="E199" t="inlineStr">
        <is>
          <t>EQT to buy majority stake in specialty broker McGill and Partners for $2 billion from Warburg Pincus</t>
        </is>
      </c>
      <c r="F199" t="inlineStr">
        <is>
          <t>EQT agreed to acquire a majority stake in specialty (re)insurance broker McGill and Partners for $2 billion, with founder Steve McGill remaining CEO as the firm targets accelerated global expansion.</t>
        </is>
      </c>
      <c r="G199" t="inlineStr">
        <is>
          <t>Warburg Pincus</t>
        </is>
      </c>
      <c r="H199" t="inlineStr">
        <is>
          <t>https://warburgpincus.com/2026/09/04/eqt-to-acquire-mcgill-and-partners-a-leading-specialty-reinsurance-broker-for-usd-2-0-billion-from-warburg-pincus/</t>
        </is>
      </c>
      <c r="I199" t="inlineStr">
        <is>
          <t>2026-09-04</t>
        </is>
      </c>
    </row>
    <row r="200">
      <c r="A200" t="inlineStr">
        <is>
          <t>2026-09-09</t>
        </is>
      </c>
      <c r="B200" t="inlineStr">
        <is>
          <t>FinTech</t>
        </is>
      </c>
      <c r="C200" t="inlineStr">
        <is>
          <t>Investments &amp; Funding</t>
        </is>
      </c>
      <c r="D200" t="inlineStr">
        <is>
          <t>Global</t>
        </is>
      </c>
      <c r="E200" t="inlineStr">
        <is>
          <t>FinTech funding tops $1.3 billion across 12 deals in a powerful first week of September</t>
        </is>
      </c>
      <c r="F200" t="inlineStr">
        <is>
          <t>FinTech Global tallied $1.36 billion raised across 12 deals in the first week of September, with wealthtech firms including FNZ accounting for the largest share of the week's fundraising.</t>
        </is>
      </c>
      <c r="G200" t="inlineStr">
        <is>
          <t>FinTech Global</t>
        </is>
      </c>
      <c r="H200" t="inlineStr">
        <is>
          <t>https://fintech.global/2026/09/04/over-1-3bn-raised-across-12-deals-in-powerful-week-for-fintech/</t>
        </is>
      </c>
      <c r="I200" t="inlineStr">
        <is>
          <t>2026-09-04</t>
        </is>
      </c>
    </row>
    <row r="201">
      <c r="A201" t="inlineStr">
        <is>
          <t>2026-09-09</t>
        </is>
      </c>
      <c r="B201" t="inlineStr">
        <is>
          <t>Investments</t>
        </is>
      </c>
      <c r="C201" t="inlineStr">
        <is>
          <t>Investments &amp; Funding</t>
        </is>
      </c>
      <c r="D201" t="inlineStr">
        <is>
          <t>India</t>
        </is>
      </c>
      <c r="E201" t="inlineStr">
        <is>
          <t>LIC secures RBI approval to raise its stake in ICICI Bank to up to 9.99%</t>
        </is>
      </c>
      <c r="F201" t="inlineStr">
        <is>
          <t>The Reserve Bank of India approved Life Insurance Corporation's application to raise its holding in ICICI Bank to as much as 9.99% of paid-up capital, giving the insurer one year to complete the acquisition.</t>
        </is>
      </c>
      <c r="G201" t="inlineStr">
        <is>
          <t>ANI News</t>
        </is>
      </c>
      <c r="H201" t="inlineStr">
        <is>
          <t>https://aninews.in/news/business/lic-receives-rbi-approval-to-acquire-up-to-999-pc-stake-in-icici-bank20260905145147/</t>
        </is>
      </c>
      <c r="I201" t="inlineStr">
        <is>
          <t>2026-09-05</t>
        </is>
      </c>
    </row>
    <row r="202">
      <c r="A202" t="inlineStr">
        <is>
          <t>2026-09-09</t>
        </is>
      </c>
      <c r="B202" t="inlineStr">
        <is>
          <t>Property &amp; Casualty</t>
        </is>
      </c>
      <c r="C202" t="inlineStr">
        <is>
          <t>Market Economics</t>
        </is>
      </c>
      <c r="D202" t="inlineStr">
        <is>
          <t>Global</t>
        </is>
      </c>
      <c r="E202" t="inlineStr">
        <is>
          <t>Hannover Re calls for risk-adequate pricing heading into January 1 renewals amid growing uncertainty</t>
        </is>
      </c>
      <c r="F202" t="inlineStr">
        <is>
          <t>Hannover Re says it will only grow where reinsurance prices remain commensurate with risk ahead of January renewals, citing intensifying competition, geopolitical tension and inflation as headwinds to accurate long-term claims pricing.</t>
        </is>
      </c>
      <c r="G202" t="inlineStr">
        <is>
          <t>Reinsurance News</t>
        </is>
      </c>
      <c r="H202" t="inlineStr">
        <is>
          <t>https://www.reinsurancene.ws/hannover-re-expects-risk-adequate-prices-for-jan-1-renewals-amid-increasingly-challenging-environment/</t>
        </is>
      </c>
      <c r="I202" t="inlineStr">
        <is>
          <t>2026-09-07</t>
        </is>
      </c>
    </row>
    <row r="203">
      <c r="A203" t="inlineStr">
        <is>
          <t>2026-09-09</t>
        </is>
      </c>
      <c r="B203" t="inlineStr">
        <is>
          <t>Wealth Management</t>
        </is>
      </c>
      <c r="C203" t="inlineStr">
        <is>
          <t>M&amp;A</t>
        </is>
      </c>
      <c r="D203" t="inlineStr">
        <is>
          <t>United States</t>
        </is>
      </c>
      <c r="E203" t="inlineStr">
        <is>
          <t>Vanguard's acquisition of RIA custodian Altruist headlines a wave of September wealthtech deals</t>
        </is>
      </c>
      <c r="F203" t="inlineStr">
        <is>
          <t>Vanguard's purchase of RIA custodian Altruist marks a major shift in advisor technology, part of a busy September wealthtech deal slate that also includes Savant Wealth Management's ninth acquisition of the year.</t>
        </is>
      </c>
      <c r="G203" t="inlineStr">
        <is>
          <t>Kitces.com</t>
        </is>
      </c>
      <c r="H203" t="inlineStr">
        <is>
          <t>https://www.kitces.com/blog/the-latest-in-financial-advisortech-september-2026-altruist-vanguard-acquisition-ria-custodian-finny-slant-finturk-pontera/</t>
        </is>
      </c>
      <c r="I203" t="inlineStr">
        <is>
          <t>2026-09-08</t>
        </is>
      </c>
    </row>
    <row r="204">
      <c r="A204" t="inlineStr">
        <is>
          <t>2026-09-10</t>
        </is>
      </c>
      <c r="B204" t="inlineStr">
        <is>
          <t>Healthcare / Provider &amp; Clinical</t>
        </is>
      </c>
      <c r="C204" t="inlineStr">
        <is>
          <t>Technology &amp; AI</t>
        </is>
      </c>
      <c r="D204" t="inlineStr">
        <is>
          <t>United States</t>
        </is>
      </c>
      <c r="E204" t="inlineStr">
        <is>
          <t>Health systems scale Microsoft Dragon Copilot past 100,000 clinicians</t>
        </is>
      </c>
      <c r="F204" t="inlineStr">
        <is>
          <t>More than 100,000 clinicians now use Microsoft's Dragon Copilot ambient documentation assistant, with adopting health systems reporting significant reductions in charting time and after-hours documentation burden.</t>
        </is>
      </c>
      <c r="G204" t="inlineStr">
        <is>
          <t>Healthcare IT News</t>
        </is>
      </c>
      <c r="H204" t="inlineStr">
        <is>
          <t>https://www.healthcareitnews.com/news/microsoft-dragon-copilot-intros-new-ai-capabilities-clinicians</t>
        </is>
      </c>
      <c r="I204" t="inlineStr">
        <is>
          <t>2026-08-15</t>
        </is>
      </c>
    </row>
    <row r="205">
      <c r="A205" t="inlineStr">
        <is>
          <t>2026-09-10</t>
        </is>
      </c>
      <c r="B205" t="inlineStr">
        <is>
          <t>Investments</t>
        </is>
      </c>
      <c r="C205" t="inlineStr">
        <is>
          <t>Market Economics</t>
        </is>
      </c>
      <c r="D205" t="inlineStr">
        <is>
          <t>Global</t>
        </is>
      </c>
      <c r="E205" t="inlineStr">
        <is>
          <t>Catastrophe bond issuance hits record as reinsurance capital keeps flooding in</t>
        </is>
      </c>
      <c r="F205" t="inlineStr">
        <is>
          <t>144A catastrophe bond issuance reached $17.3 billion in the first half of 2026, a record pace driven by record dedicated reinsurance capital and alternative capacity that continues to outstrip buyer demand.</t>
        </is>
      </c>
      <c r="G205" t="inlineStr">
        <is>
          <t>Risk &amp; Insurance</t>
        </is>
      </c>
      <c r="H205" t="inlineStr">
        <is>
          <t>https://riskandinsurance.com/cat-bond-issuance-hits-record-high-as-reinsurance-capital-floods-market/</t>
        </is>
      </c>
      <c r="I205" t="inlineStr">
        <is>
          <t>2026-09-01</t>
        </is>
      </c>
    </row>
    <row r="206">
      <c r="A206" t="inlineStr">
        <is>
          <t>2026-09-10</t>
        </is>
      </c>
      <c r="B206" t="inlineStr">
        <is>
          <t>FinTech</t>
        </is>
      </c>
      <c r="C206" t="inlineStr">
        <is>
          <t>Technology &amp; AI</t>
        </is>
      </c>
      <c r="D206" t="inlineStr">
        <is>
          <t>Global</t>
        </is>
      </c>
      <c r="E206" t="inlineStr">
        <is>
          <t>InsureMO becomes formal Anthropic partner for AI-powered insurance applications</t>
        </is>
      </c>
      <c r="F206" t="inlineStr">
        <is>
          <t>Insurance infrastructure platform InsureMO became a formal Anthropic partner, enabling insurers and distributors to build AI-powered applications on its API, data and AI architecture.</t>
        </is>
      </c>
      <c r="G206" t="inlineStr">
        <is>
          <t>Open and Embedded Insurance Observatory</t>
        </is>
      </c>
      <c r="H206" t="inlineStr">
        <is>
          <t>https://openinsuranceobs.substack.com/p/the-monthly-newsletter-of-the-open-e04</t>
        </is>
      </c>
      <c r="I206" t="inlineStr">
        <is>
          <t>2026-09-01</t>
        </is>
      </c>
    </row>
    <row r="207">
      <c r="A207" t="inlineStr">
        <is>
          <t>2026-09-10</t>
        </is>
      </c>
      <c r="B207" t="inlineStr">
        <is>
          <t>BrokerTech</t>
        </is>
      </c>
      <c r="C207" t="inlineStr">
        <is>
          <t>Technology &amp; AI</t>
        </is>
      </c>
      <c r="D207" t="inlineStr">
        <is>
          <t>United States</t>
        </is>
      </c>
      <c r="E207" t="inlineStr">
        <is>
          <t>BrokerTech Ventures brings insurance and insurtech leaders together in Chicago</t>
        </is>
      </c>
      <c r="F207" t="inlineStr">
        <is>
          <t>BrokerTech Ventures held its second annual BrokerTech Connect conference September 1-2 in Chicago, convening brokerage, carrier, wholesaler and startup executives alongside its 2026 accelerator cohort of nine insurtech startups.</t>
        </is>
      </c>
      <c r="G207" t="inlineStr">
        <is>
          <t>PR Newswire via Yahoo Finance</t>
        </is>
      </c>
      <c r="H207" t="inlineStr">
        <is>
          <t>https://finance.yahoo.com/sectors/technology/articles/brokertech-ventures-announces-2026-accelerator-120000713.html</t>
        </is>
      </c>
      <c r="I207" t="inlineStr">
        <is>
          <t>2026-09-01</t>
        </is>
      </c>
    </row>
    <row r="208">
      <c r="A208" t="inlineStr">
        <is>
          <t>2026-09-10</t>
        </is>
      </c>
      <c r="B208" t="inlineStr">
        <is>
          <t>Retirement</t>
        </is>
      </c>
      <c r="C208" t="inlineStr">
        <is>
          <t>Investments &amp; Funding</t>
        </is>
      </c>
      <c r="D208" t="inlineStr">
        <is>
          <t>United States</t>
        </is>
      </c>
      <c r="E208" t="inlineStr">
        <is>
          <t>Vanguard and TIAA launch target-date trust with embedded lifetime-income annuity</t>
        </is>
      </c>
      <c r="F208" t="inlineStr">
        <is>
          <t>Vanguard introduced Target Retirement Lifetime Income Trusts that build TIAA's Secure Income Account annuity directly into a target-date collective investment trust, giving defined-contribution savers a built-in path to guaranteed income.</t>
        </is>
      </c>
      <c r="G208" t="inlineStr">
        <is>
          <t>401(k) Specialist</t>
        </is>
      </c>
      <c r="H208" t="inlineStr">
        <is>
          <t>https://401kspecialistmag.com/vanguard-tiaa-team-up-to-launch-target-date-cit-with-built-in-annuity/</t>
        </is>
      </c>
      <c r="I208" t="inlineStr">
        <is>
          <t>2026-09-02</t>
        </is>
      </c>
    </row>
    <row r="209">
      <c r="A209" t="inlineStr">
        <is>
          <t>2026-09-10</t>
        </is>
      </c>
      <c r="B209" t="inlineStr">
        <is>
          <t>Retirement</t>
        </is>
      </c>
      <c r="C209" t="inlineStr">
        <is>
          <t>M&amp;A</t>
        </is>
      </c>
      <c r="D209" t="inlineStr">
        <is>
          <t>United States</t>
        </is>
      </c>
      <c r="E209" t="inlineStr">
        <is>
          <t>PLANADVISER's September roundup tracks fresh retirement-plan advisory deals</t>
        </is>
      </c>
      <c r="F209" t="inlineStr">
        <is>
          <t>PLANADVISER's September 2 M&amp;A digest catalogs the latest wave of retirement-plan advisory and recordkeeping acquisitions as consolidation among defined-contribution-focused RIAs continues.</t>
        </is>
      </c>
      <c r="G209" t="inlineStr">
        <is>
          <t>PLANADVISER</t>
        </is>
      </c>
      <c r="H209" t="inlineStr">
        <is>
          <t>https://www.planadviser.com/advisory-ma-news-9-2-2026/</t>
        </is>
      </c>
      <c r="I209" t="inlineStr">
        <is>
          <t>2026-09-02</t>
        </is>
      </c>
    </row>
    <row r="210">
      <c r="A210" t="inlineStr">
        <is>
          <t>2026-09-10</t>
        </is>
      </c>
      <c r="B210" t="inlineStr">
        <is>
          <t>Life &amp; Annuities</t>
        </is>
      </c>
      <c r="C210" t="inlineStr">
        <is>
          <t>Investments &amp; Funding</t>
        </is>
      </c>
      <c r="D210" t="inlineStr">
        <is>
          <t>APAC</t>
        </is>
      </c>
      <c r="E210" t="inlineStr">
        <is>
          <t>Pacific Life Re completes first asset-intensive reinsurance deal in Hong Kong</t>
        </is>
      </c>
      <c r="F210" t="inlineStr">
        <is>
          <t>Pacific Life Re closed its first Hong Kong asset-intensive (funded) reinsurance transaction, reinsuring a block of whole life liabilities for a pan-Asian insurer and extending its Savings &amp; Retirement franchise beyond Japan.</t>
        </is>
      </c>
      <c r="G210" t="inlineStr">
        <is>
          <t>Reinsurance News</t>
        </is>
      </c>
      <c r="H210" t="inlineStr">
        <is>
          <t>https://www.reinsurancene.ws/pacific-life-re-completes-first-asset-intensive-reinsurance-transaction-in-hong-kong/</t>
        </is>
      </c>
      <c r="I210" t="inlineStr">
        <is>
          <t>2026-09-04</t>
        </is>
      </c>
    </row>
    <row r="211">
      <c r="A211" t="inlineStr">
        <is>
          <t>2026-09-10</t>
        </is>
      </c>
      <c r="B211" t="inlineStr">
        <is>
          <t>Life &amp; Annuities</t>
        </is>
      </c>
      <c r="C211" t="inlineStr">
        <is>
          <t>Technology &amp; AI</t>
        </is>
      </c>
      <c r="D211" t="inlineStr">
        <is>
          <t>United States</t>
        </is>
      </c>
      <c r="E211" t="inlineStr">
        <is>
          <t>IncomeConductor adds new modeling tools for annuity-based retirement income plans</t>
        </is>
      </c>
      <c r="F211" t="inlineStr">
        <is>
          <t>Retirement-income planning platform IncomeConductor rolled out enhanced modeling capabilities to help advisors illustrate and manage annuity-based decumulation strategies more precisely for clients.</t>
        </is>
      </c>
      <c r="G211" t="inlineStr">
        <is>
          <t>401(k) Specialist</t>
        </is>
      </c>
      <c r="H211" t="inlineStr">
        <is>
          <t>https://401kspecialistmag.com/incomeconductor-modernizes-annuity-planning-with-new-modeling-capabilities/</t>
        </is>
      </c>
      <c r="I211" t="inlineStr">
        <is>
          <t>2026-09-05</t>
        </is>
      </c>
    </row>
    <row r="212">
      <c r="A212" t="inlineStr">
        <is>
          <t>2026-09-10</t>
        </is>
      </c>
      <c r="B212" t="inlineStr">
        <is>
          <t>Wealth Management</t>
        </is>
      </c>
      <c r="C212" t="inlineStr">
        <is>
          <t>M&amp;A</t>
        </is>
      </c>
      <c r="D212" t="inlineStr">
        <is>
          <t>United States</t>
        </is>
      </c>
      <c r="E212" t="inlineStr">
        <is>
          <t>Wealthcare adds Pennsylvania RIA as it targets doubling assets by 2028</t>
        </is>
      </c>
      <c r="F212" t="inlineStr">
        <is>
          <t>Wealthcare Capital Management, seeking to double its $11.5 billion in assets under management by 2028, added an Easton, Pennsylvania-based RIA in its latest tuck-in acquisition.</t>
        </is>
      </c>
      <c r="G212" t="inlineStr">
        <is>
          <t>AdvisorHub</t>
        </is>
      </c>
      <c r="H212" t="inlineStr">
        <is>
          <t>https://www.advisorhub.com/wealthcare-adds-550m-ria-aims-to-double-assets-in-two-years/</t>
        </is>
      </c>
      <c r="I212" t="inlineStr">
        <is>
          <t>2026-09-05</t>
        </is>
      </c>
    </row>
    <row r="213">
      <c r="A213" t="inlineStr">
        <is>
          <t>2026-09-10</t>
        </is>
      </c>
      <c r="B213" t="inlineStr">
        <is>
          <t>Life &amp; Annuities</t>
        </is>
      </c>
      <c r="C213" t="inlineStr">
        <is>
          <t>Market Economics</t>
        </is>
      </c>
      <c r="D213" t="inlineStr">
        <is>
          <t>United States</t>
        </is>
      </c>
      <c r="E213" t="inlineStr">
        <is>
          <t>Global Atlantic to launch ForeLifetime Income fixed index annuity</t>
        </is>
      </c>
      <c r="F213" t="inlineStr">
        <is>
          <t>Global Atlantic is preparing to roll out ForeLifetime Income, a new fixed index annuity with a guaranteed lifetime income rider, set to become available to retail buyers on September 21, 2026.</t>
        </is>
      </c>
      <c r="G213" t="inlineStr">
        <is>
          <t>Financial Markets Inc</t>
        </is>
      </c>
      <c r="H213" t="inlineStr">
        <is>
          <t>https://www.fmiagent.com/product-type/annuities/introducing-forelifetime-income-fixed-index-annuity-coming-09-21-2026/</t>
        </is>
      </c>
      <c r="I213" t="inlineStr">
        <is>
          <t>2026-09-08</t>
        </is>
      </c>
    </row>
    <row r="214">
      <c r="A214" t="inlineStr">
        <is>
          <t>2026-09-10</t>
        </is>
      </c>
      <c r="B214" t="inlineStr">
        <is>
          <t>Property &amp; Casualty</t>
        </is>
      </c>
      <c r="C214" t="inlineStr">
        <is>
          <t>People &amp; Leadership</t>
        </is>
      </c>
      <c r="D214" t="inlineStr">
        <is>
          <t>United States</t>
        </is>
      </c>
      <c r="E214" t="inlineStr">
        <is>
          <t>AIG names Nancy Bewlay global chief underwriting officer</t>
        </is>
      </c>
      <c r="F214" t="inlineStr">
        <is>
          <t>AIG appointed Nancy Bewlay executive vice president and global chief underwriting officer effective September 8, 2026, part of a broader wave of September carrier executive moves.</t>
        </is>
      </c>
      <c r="G214" t="inlineStr">
        <is>
          <t>Insurance Business</t>
        </is>
      </c>
      <c r="H214" t="inlineStr">
        <is>
          <t>https://www.insurancebusinessmag.com/us/news/breaking-news/insurance-moves-windward-risk-hannover-re-us-ameritas-sunstar-ames-and-gough-amica-more-588247.aspx</t>
        </is>
      </c>
      <c r="I214" t="inlineStr">
        <is>
          <t>2026-09-08</t>
        </is>
      </c>
    </row>
    <row r="215">
      <c r="A215" t="inlineStr">
        <is>
          <t>2026-09-10</t>
        </is>
      </c>
      <c r="B215" t="inlineStr">
        <is>
          <t>Insurtech</t>
        </is>
      </c>
      <c r="C215" t="inlineStr">
        <is>
          <t>Technology &amp; AI</t>
        </is>
      </c>
      <c r="D215" t="inlineStr">
        <is>
          <t>United States</t>
        </is>
      </c>
      <c r="E215" t="inlineStr">
        <is>
          <t>Jencap taps OIP Insurtech's BoundAI to speed delegated-authority underwriting</t>
        </is>
      </c>
      <c r="F215" t="inlineStr">
        <is>
          <t>Wholesale broker Jencap selected OIP Insurtech's BoundAI platform to automate submission intake and underwriting for delegated authority business, reporting 99% accuracy and a 65% cut in per-submission processing cost.</t>
        </is>
      </c>
      <c r="G215" t="inlineStr">
        <is>
          <t>Insurance Journal</t>
        </is>
      </c>
      <c r="H215" t="inlineStr">
        <is>
          <t>https://www.insurancejournal.com/blogs/oip/2026/09/08/884067.htm</t>
        </is>
      </c>
      <c r="I215" t="inlineStr">
        <is>
          <t>2026-09-08</t>
        </is>
      </c>
    </row>
    <row r="216">
      <c r="A216" t="inlineStr">
        <is>
          <t>2026-09-10</t>
        </is>
      </c>
      <c r="B216" t="inlineStr">
        <is>
          <t>FinTech</t>
        </is>
      </c>
      <c r="C216" t="inlineStr">
        <is>
          <t>Technology &amp; AI</t>
        </is>
      </c>
      <c r="D216" t="inlineStr">
        <is>
          <t>UK/Europe</t>
        </is>
      </c>
      <c r="E216" t="inlineStr">
        <is>
          <t>NEOS and Marloo partner to embed AI-driven insurance pricing for advisers</t>
        </is>
      </c>
      <c r="F216" t="inlineStr">
        <is>
          <t>Protection insurer NEOS and Marloo partnered to integrate NEOS's platform pricing capabilities into Marloo's adviser tools, letting practices compare insurance products faster within their existing workflow.</t>
        </is>
      </c>
      <c r="G216" t="inlineStr">
        <is>
          <t>FinTech Global</t>
        </is>
      </c>
      <c r="H216" t="inlineStr">
        <is>
          <t>https://fintech.global/2026/09/09/neos-and-marloo-partner-on-ai-driven-insurance-pricing/</t>
        </is>
      </c>
      <c r="I216" t="inlineStr">
        <is>
          <t>2026-09-09</t>
        </is>
      </c>
    </row>
    <row r="217">
      <c r="A217" t="inlineStr">
        <is>
          <t>2026-09-11</t>
        </is>
      </c>
      <c r="B217" t="inlineStr">
        <is>
          <t>Insurtech</t>
        </is>
      </c>
      <c r="C217" t="inlineStr">
        <is>
          <t>Technology &amp; AI</t>
        </is>
      </c>
      <c r="D217" t="inlineStr">
        <is>
          <t>UK/Europe</t>
        </is>
      </c>
      <c r="E217" t="inlineStr">
        <is>
          <t>Jointly AI launches autonomous AI broker platform for UK personal lines</t>
        </is>
      </c>
      <c r="F217" t="inlineStr">
        <is>
          <t>Jointly AI introduced what it calls the first end-to-end autonomous AI insurance brokerage platform for UK personal lines, using voice AI agents to contact insurers, gather quotes and return recommendations without manual broker intervention.</t>
        </is>
      </c>
      <c r="G217" t="inlineStr">
        <is>
          <t>Reinsurance News</t>
        </is>
      </c>
      <c r="H217" t="inlineStr">
        <is>
          <t>https://www.reinsurancene.ws/jointly-ai-introduces-autonomous-insurance-brokerage-platform-for-uk-personal-lines-brokers/</t>
        </is>
      </c>
      <c r="I217" t="inlineStr">
        <is>
          <t>2026-02-19</t>
        </is>
      </c>
    </row>
    <row r="218">
      <c r="A218" t="inlineStr">
        <is>
          <t>2026-09-11</t>
        </is>
      </c>
      <c r="B218" t="inlineStr">
        <is>
          <t>TPA</t>
        </is>
      </c>
      <c r="C218" t="inlineStr">
        <is>
          <t>M&amp;A</t>
        </is>
      </c>
      <c r="D218" t="inlineStr">
        <is>
          <t>United States</t>
        </is>
      </c>
      <c r="E218" t="inlineStr">
        <is>
          <t>Old Republic spins out TPA business as independent brand Lodestar</t>
        </is>
      </c>
      <c r="F218" t="inlineStr">
        <is>
          <t>Old Republic International launched Lodestar Claims &amp; Risk Services as a standalone operating company, the first time in more than 30 years its third-party administrator business has carried its own distinct brand in the market.</t>
        </is>
      </c>
      <c r="G218" t="inlineStr">
        <is>
          <t>Insurance Journal</t>
        </is>
      </c>
      <c r="H218" t="inlineStr">
        <is>
          <t>https://www.insurancejournal.com/news/midwest/2026/04/13/865643.htm</t>
        </is>
      </c>
      <c r="I218" t="inlineStr">
        <is>
          <t>2026-04-13</t>
        </is>
      </c>
    </row>
    <row r="219">
      <c r="A219" t="inlineStr">
        <is>
          <t>2026-09-11</t>
        </is>
      </c>
      <c r="B219" t="inlineStr">
        <is>
          <t>Insurtech</t>
        </is>
      </c>
      <c r="C219" t="inlineStr">
        <is>
          <t>Investments &amp; Funding</t>
        </is>
      </c>
      <c r="D219" t="inlineStr">
        <is>
          <t>United States</t>
        </is>
      </c>
      <c r="E219" t="inlineStr">
        <is>
          <t>Honeycomb Insurance raises $40 million to expand AI-powered property underwriting</t>
        </is>
      </c>
      <c r="F219" t="inlineStr">
        <is>
          <t>Digital insurer Honeycomb closed a $40 million round led by Zeev Ventures to expand its AI-driven underwriting platform for apartment buildings and condo associations, bringing total funding to $95 million after exiting 2025 with $275 million in written premium.</t>
        </is>
      </c>
      <c r="G219" t="inlineStr">
        <is>
          <t>FinTech Global</t>
        </is>
      </c>
      <c r="H219" t="inlineStr">
        <is>
          <t>https://fintech.global/2026/06/08/honeycomb-secures-40m-to-expand-real-estate-insurance/</t>
        </is>
      </c>
      <c r="I219" t="inlineStr">
        <is>
          <t>2026-06-08</t>
        </is>
      </c>
    </row>
    <row r="220">
      <c r="A220" t="inlineStr">
        <is>
          <t>2026-09-11</t>
        </is>
      </c>
      <c r="B220" t="inlineStr">
        <is>
          <t>FinTech</t>
        </is>
      </c>
      <c r="C220" t="inlineStr">
        <is>
          <t>Investments &amp; Funding</t>
        </is>
      </c>
      <c r="D220" t="inlineStr">
        <is>
          <t>Global</t>
        </is>
      </c>
      <c r="E220" t="inlineStr">
        <is>
          <t>Taktile raises $110 million Series C led by Goldman Sachs Alternatives</t>
        </is>
      </c>
      <c r="F220" t="inlineStr">
        <is>
          <t>Taktile, whose agentic decision platform helps banks and insurers automate underwriting, claims and fraud decisions, closed a $110 million Series C round, bringing its total funding to $184 million as it expands across the U.S., EMEA and Latin America.</t>
        </is>
      </c>
      <c r="G220" t="inlineStr">
        <is>
          <t>Businesswire</t>
        </is>
      </c>
      <c r="H220" t="inlineStr">
        <is>
          <t>https://www.businesswire.com/news/home/20260624713959/en/Taktile-Secures-$110M-in-Goldman-Sachs-Led-Series-C-to-Power-AI-Transformation-in-Financial-Institutions</t>
        </is>
      </c>
      <c r="I220" t="inlineStr">
        <is>
          <t>2026-06-24</t>
        </is>
      </c>
    </row>
    <row r="221">
      <c r="A221" t="inlineStr">
        <is>
          <t>2026-09-11</t>
        </is>
      </c>
      <c r="B221" t="inlineStr">
        <is>
          <t>Brokers &amp; MGA/GA</t>
        </is>
      </c>
      <c r="C221" t="inlineStr">
        <is>
          <t>People &amp; Leadership</t>
        </is>
      </c>
      <c r="D221" t="inlineStr">
        <is>
          <t>APAC</t>
        </is>
      </c>
      <c r="E221" t="inlineStr">
        <is>
          <t>MSIG Asia taps QBE veteran Ronak Shah as regional CEO</t>
        </is>
      </c>
      <c r="F221" t="inlineStr">
        <is>
          <t>MSIG Asia named Ronak Shah, previously CEO of QBE's Wholesale Markets Asia, as regional chief executive effective October 1, giving him oversight of operations spanning Southeast Asia, Hong Kong, India and Oceania.</t>
        </is>
      </c>
      <c r="G221" t="inlineStr">
        <is>
          <t>Reinsurance News</t>
        </is>
      </c>
      <c r="H221" t="inlineStr">
        <is>
          <t>https://www.reinsurancene.ws/msig-asia-names-ronak-shah-as-regional-ceo/</t>
        </is>
      </c>
      <c r="I221" t="inlineStr">
        <is>
          <t>2026-07-14</t>
        </is>
      </c>
    </row>
    <row r="222">
      <c r="A222" t="inlineStr">
        <is>
          <t>2026-09-11</t>
        </is>
      </c>
      <c r="B222" t="inlineStr">
        <is>
          <t>Health Insurance / Payer</t>
        </is>
      </c>
      <c r="C222" t="inlineStr">
        <is>
          <t>Market Economics</t>
        </is>
      </c>
      <c r="D222" t="inlineStr">
        <is>
          <t>United States</t>
        </is>
      </c>
      <c r="E222" t="inlineStr">
        <is>
          <t>Payers post broad Q2 2026 profit gains as medical cost trends ease</t>
        </is>
      </c>
      <c r="F222" t="inlineStr">
        <is>
          <t>UnitedHealth, Cigna, Elevance, Centene and Molina all reported year-over-year profit growth in the second quarter of 2026, with several insurers raising full-year earnings guidance as cost-trend fears eased and stocks rallied off yearly lows.</t>
        </is>
      </c>
      <c r="G222" t="inlineStr">
        <is>
          <t>Fierce Healthcare</t>
        </is>
      </c>
      <c r="H222" t="inlineStr">
        <is>
          <t>https://www.fiercehealthcare.com/payers/payer-2026-q2-earnings-unitedhealth-cvs-cigna-elevance-health</t>
        </is>
      </c>
      <c r="I222" t="inlineStr">
        <is>
          <t>2026-08-05</t>
        </is>
      </c>
    </row>
    <row r="223">
      <c r="A223" t="inlineStr">
        <is>
          <t>2026-09-11</t>
        </is>
      </c>
      <c r="B223" t="inlineStr">
        <is>
          <t>Life &amp; Annuities</t>
        </is>
      </c>
      <c r="C223" t="inlineStr">
        <is>
          <t>People &amp; Leadership</t>
        </is>
      </c>
      <c r="D223" t="inlineStr">
        <is>
          <t>UK/Europe</t>
        </is>
      </c>
      <c r="E223" t="inlineStr">
        <is>
          <t>HSBC's global insurance chief to depart after two decades at the bank</t>
        </is>
      </c>
      <c r="F223" t="inlineStr">
        <is>
          <t>Edward Moncreiffe is leaving HSBC's global insurance business for external opportunities after 20 years, with the bank reportedly planning to split his responsibilities between two regional executives.</t>
        </is>
      </c>
      <c r="G223" t="inlineStr">
        <is>
          <t>Insurance Journal</t>
        </is>
      </c>
      <c r="H223" t="inlineStr">
        <is>
          <t>https://www.insurancejournal.com/news/international/2026/08/12/881173.htm</t>
        </is>
      </c>
      <c r="I223" t="inlineStr">
        <is>
          <t>2026-08-12</t>
        </is>
      </c>
    </row>
    <row r="224">
      <c r="A224" t="inlineStr">
        <is>
          <t>2026-09-11</t>
        </is>
      </c>
      <c r="B224" t="inlineStr">
        <is>
          <t>Retirement</t>
        </is>
      </c>
      <c r="C224" t="inlineStr">
        <is>
          <t>Market Economics</t>
        </is>
      </c>
      <c r="D224" t="inlineStr">
        <is>
          <t>United States</t>
        </is>
      </c>
      <c r="E224" t="inlineStr">
        <is>
          <t>Pooled employer plans adoption jumps 45% as recordkeepers bet on PEP growth</t>
        </is>
      </c>
      <c r="F224" t="inlineStr">
        <is>
          <t>The 2026 PLANSPONSOR Recordkeeping Survey found 10,797 employers had adopted pooled employer plans for 401(k) or 403(b) participants, up 44.8% from a year earlier, with many recordkeepers naming PEPs a major strategic priority.</t>
        </is>
      </c>
      <c r="G224" t="inlineStr">
        <is>
          <t>PLANSPONSOR</t>
        </is>
      </c>
      <c r="H224" t="inlineStr">
        <is>
          <t>https://www.plansponsor.com/surveys/2026-recordkeeping-survey/</t>
        </is>
      </c>
      <c r="I224" t="inlineStr">
        <is>
          <t>2026-09-01</t>
        </is>
      </c>
    </row>
    <row r="225">
      <c r="A225" t="inlineStr">
        <is>
          <t>2026-09-11</t>
        </is>
      </c>
      <c r="B225" t="inlineStr">
        <is>
          <t>Retirement</t>
        </is>
      </c>
      <c r="C225" t="inlineStr">
        <is>
          <t>Investments &amp; Funding</t>
        </is>
      </c>
      <c r="D225" t="inlineStr">
        <is>
          <t>United States</t>
        </is>
      </c>
      <c r="E225" t="inlineStr">
        <is>
          <t>Private capital in 401(k) plans could top $1 trillion by 2030, Deloitte projects</t>
        </is>
      </c>
      <c r="F225" t="inlineStr">
        <is>
          <t>Deloitte forecasts regulatory changes could push private-market allocations in U.S. defined contribution plans to roughly 6% of assets by 2030, up from under 1% today, as target-date funds begin adding private equity exposure.</t>
        </is>
      </c>
      <c r="G225" t="inlineStr">
        <is>
          <t>Deloitte</t>
        </is>
      </c>
      <c r="H225" t="inlineStr">
        <is>
          <t>https://www.deloitte.com/us/en/insights/industry/financial-services/financial-services-industry-predictions/2026/private-capital-defined-contribution-plans.html</t>
        </is>
      </c>
      <c r="I225" t="inlineStr">
        <is>
          <t>2026-09-01</t>
        </is>
      </c>
    </row>
    <row r="226">
      <c r="A226" t="inlineStr">
        <is>
          <t>2026-09-11</t>
        </is>
      </c>
      <c r="B226" t="inlineStr">
        <is>
          <t>Investments</t>
        </is>
      </c>
      <c r="C226" t="inlineStr">
        <is>
          <t>Market Economics</t>
        </is>
      </c>
      <c r="D226" t="inlineStr">
        <is>
          <t>United States</t>
        </is>
      </c>
      <c r="E226" t="inlineStr">
        <is>
          <t>AIG leans into private assets as investment income growth slows</t>
        </is>
      </c>
      <c r="F226" t="inlineStr">
        <is>
          <t>AIG plans to increase its allocation to private assets to help reaccelerate net investment income, which the insurer expects to resume growing in 2027 after a slower stretch.</t>
        </is>
      </c>
      <c r="G226" t="inlineStr">
        <is>
          <t>Insurance Asset Risk</t>
        </is>
      </c>
      <c r="H226" t="inlineStr">
        <is>
          <t>https://www.insuranceassetrisk.com/content/news/aig-to-increase-private-assets-allocation-to-boost-slowing-investment-income.html</t>
        </is>
      </c>
      <c r="I226" t="inlineStr">
        <is>
          <t>2026-09-01</t>
        </is>
      </c>
    </row>
    <row r="227">
      <c r="A227" t="inlineStr">
        <is>
          <t>2026-09-11</t>
        </is>
      </c>
      <c r="B227" t="inlineStr">
        <is>
          <t>Health Insurance / Payer</t>
        </is>
      </c>
      <c r="C227" t="inlineStr">
        <is>
          <t>Regulatory &amp; Policy</t>
        </is>
      </c>
      <c r="D227" t="inlineStr">
        <is>
          <t>United States</t>
        </is>
      </c>
      <c r="E227" t="inlineStr">
        <is>
          <t>ACA marketplace premiums set to jump as enhanced subsidies expire</t>
        </is>
      </c>
      <c r="F227" t="inlineStr">
        <is>
          <t>With Congress declining to extend enhanced ACA premium tax credits, some marketplace enrollees could see costs rise as much as 114% when combined with insurers' 2026 rate increases, which carriers say already priced in the subsidy expiration.</t>
        </is>
      </c>
      <c r="G227" t="inlineStr">
        <is>
          <t>NBC News</t>
        </is>
      </c>
      <c r="H227" t="inlineStr">
        <is>
          <t>https://www.nbcnews.com/health/health-news/aca-medicaid-medicare-health-care-expensive-some-cheaper-others-rcna249526</t>
        </is>
      </c>
      <c r="I227" t="inlineStr">
        <is>
          <t>2026-09-01</t>
        </is>
      </c>
    </row>
    <row r="228">
      <c r="A228" t="inlineStr">
        <is>
          <t>2026-09-11</t>
        </is>
      </c>
      <c r="B228" t="inlineStr">
        <is>
          <t>Property &amp; Casualty</t>
        </is>
      </c>
      <c r="C228" t="inlineStr">
        <is>
          <t>Regulatory &amp; Policy</t>
        </is>
      </c>
      <c r="D228" t="inlineStr">
        <is>
          <t>UK/Europe</t>
        </is>
      </c>
      <c r="E228" t="inlineStr">
        <is>
          <t>UK's FCA proposes to strip back prescriptive insurance disclosure rules</t>
        </is>
      </c>
      <c r="F228" t="inlineStr">
        <is>
          <t>The Financial Conduct Authority's Consultation Paper CP26/22, open for comment through September 4, proposes removing ICOBS disclosure requirements it considers duplicative or likely to overload consumers with information, part of a broader insurance-rules simplification push.</t>
        </is>
      </c>
      <c r="G228" t="inlineStr">
        <is>
          <t>CMS Law</t>
        </is>
      </c>
      <c r="H228" t="inlineStr">
        <is>
          <t>https://cms.law/en/int/legal-updates/fca-consultation-paper-cp26-22-simplifying-the-insurance-rules</t>
        </is>
      </c>
      <c r="I228" t="inlineStr">
        <is>
          <t>2026-09-04</t>
        </is>
      </c>
    </row>
    <row r="229">
      <c r="A229" t="inlineStr">
        <is>
          <t>2026-09-11</t>
        </is>
      </c>
      <c r="B229" t="inlineStr">
        <is>
          <t>Retirement</t>
        </is>
      </c>
      <c r="C229" t="inlineStr">
        <is>
          <t>Regulatory &amp; Policy</t>
        </is>
      </c>
      <c r="D229" t="inlineStr">
        <is>
          <t>United States</t>
        </is>
      </c>
      <c r="E229" t="inlineStr">
        <is>
          <t>Labor Department advances rule opening 401(k) plans to private capital</t>
        </is>
      </c>
      <c r="F229" t="inlineStr">
        <is>
          <t>The Department of Labor is moving forward with a proposed rule clarifying how retirement plan fiduciaries should evaluate private-market investments, following a 2025 executive order directing the agency to widen access to alternative assets in workplace retirement accounts.</t>
        </is>
      </c>
      <c r="G229" t="inlineStr">
        <is>
          <t>Shulman Rogers</t>
        </is>
      </c>
      <c r="H229" t="inlineStr">
        <is>
          <t>https://www.shulmanrogers.com/legal-alert-department-of-labor-advances-proposed-rule-expanding-401k-access-to-private-capital/</t>
        </is>
      </c>
      <c r="I229" t="inlineStr">
        <is>
          <t>2026-09-05</t>
        </is>
      </c>
    </row>
    <row r="230">
      <c r="A230" t="inlineStr">
        <is>
          <t>2026-09-11</t>
        </is>
      </c>
      <c r="B230" t="inlineStr">
        <is>
          <t>Wealth Management</t>
        </is>
      </c>
      <c r="C230" t="inlineStr">
        <is>
          <t>M&amp;A</t>
        </is>
      </c>
      <c r="D230" t="inlineStr">
        <is>
          <t>United States</t>
        </is>
      </c>
      <c r="E230" t="inlineStr">
        <is>
          <t>Wealth Enhancement adds $345 million Anchorage RIA in latest tuck-in</t>
        </is>
      </c>
      <c r="F230" t="inlineStr">
        <is>
          <t>Minneapolis-based consolidator Wealth Enhancement acquired the advisory business of a four-advisor Anchorage and Fairbanks RIA overseeing $345 million in client assets, part of a near-weekly acquisition pace in 2026.</t>
        </is>
      </c>
      <c r="G230" t="inlineStr">
        <is>
          <t>InvestmentNews</t>
        </is>
      </c>
      <c r="H230" t="inlineStr">
        <is>
          <t>https://www.investmentnews.com/ria-news/wealth-enhancement-comes-to-alaska-in-latest-tuck-in-acquisition/268078</t>
        </is>
      </c>
      <c r="I230" t="inlineStr">
        <is>
          <t>2026-09-05</t>
        </is>
      </c>
    </row>
    <row r="231">
      <c r="A231" t="inlineStr">
        <is>
          <t>2026-09-11</t>
        </is>
      </c>
      <c r="B231" t="inlineStr">
        <is>
          <t>Wealth Management</t>
        </is>
      </c>
      <c r="C231" t="inlineStr">
        <is>
          <t>Market Economics</t>
        </is>
      </c>
      <c r="D231" t="inlineStr">
        <is>
          <t>UK/Europe</t>
        </is>
      </c>
      <c r="E231" t="inlineStr">
        <is>
          <t>European wealth managers turn cautious on the region's stock rally</t>
        </is>
      </c>
      <c r="F231" t="inlineStr">
        <is>
          <t>A Bloomberg survey found only 7 of 22 European private banks and wealth managers are now overweight regional equities, down from 10 at the start of the year, as sentiment shifts toward the U.S. and emerging markets.</t>
        </is>
      </c>
      <c r="G231" t="inlineStr">
        <is>
          <t>Bloomberg</t>
        </is>
      </c>
      <c r="H231" t="inlineStr">
        <is>
          <t>https://www.bloomberg.com/news/articles/2026-09-05/europe-s-wealth-managers-are-turning-their-backs-on-stock-rally</t>
        </is>
      </c>
      <c r="I231" t="inlineStr">
        <is>
          <t>2026-09-05</t>
        </is>
      </c>
    </row>
    <row r="232">
      <c r="A232" t="inlineStr">
        <is>
          <t>2026-09-11</t>
        </is>
      </c>
      <c r="B232" t="inlineStr">
        <is>
          <t>Property &amp; Casualty</t>
        </is>
      </c>
      <c r="C232" t="inlineStr">
        <is>
          <t>People &amp; Leadership</t>
        </is>
      </c>
      <c r="D232" t="inlineStr">
        <is>
          <t>United States</t>
        </is>
      </c>
      <c r="E232" t="inlineStr">
        <is>
          <t>AIG names Nancy Bewlay global chief underwriting officer</t>
        </is>
      </c>
      <c r="F232" t="inlineStr">
        <is>
          <t>AIG appointed Nancy Bewlay, formerly AXA Group's chief underwriting and pricing officer, as executive vice president and global chief underwriting officer effective September 8, tasking her with strengthening underwriting discipline across the carrier.</t>
        </is>
      </c>
      <c r="G232" t="inlineStr">
        <is>
          <t>Risk &amp; Insurance</t>
        </is>
      </c>
      <c r="H232" t="inlineStr">
        <is>
          <t>https://riskandinsurance.com/aig-names-nancy-bewlay-executive-vice-president-global-chief-underwriting-officer/</t>
        </is>
      </c>
      <c r="I232" t="inlineStr">
        <is>
          <t>2026-09-08</t>
        </is>
      </c>
    </row>
    <row r="233">
      <c r="A233" t="inlineStr">
        <is>
          <t>2026-09-11</t>
        </is>
      </c>
      <c r="B233" t="inlineStr">
        <is>
          <t>Brokers &amp; MGA/GA</t>
        </is>
      </c>
      <c r="C233" t="inlineStr">
        <is>
          <t>M&amp;A</t>
        </is>
      </c>
      <c r="D233" t="inlineStr">
        <is>
          <t>Global</t>
        </is>
      </c>
      <c r="E233" t="inlineStr">
        <is>
          <t>New Bermuda MGA Cipher launches into cyber treaty reinsurance, backed by IGI</t>
        </is>
      </c>
      <c r="F233" t="inlineStr">
        <is>
          <t>Former Envelop Risk chief underwriting officer Ari Chatterjee launched Cipher, a Bermuda-based cyber treaty reinsurance MGA backed by International General Insurance Holdings, joining a wave of new reinsurance MGAs formed in 2026.</t>
        </is>
      </c>
      <c r="G233" t="inlineStr">
        <is>
          <t>The Insurer</t>
        </is>
      </c>
      <c r="H233" t="inlineStr">
        <is>
          <t>https://www.theinsurer.com/program-manager/reinsurancemonth/reinsurance-mgas-rise-in-popularity-but-high-barriers-to-entry-a-challenge-2026-09-08/</t>
        </is>
      </c>
      <c r="I233" t="inlineStr">
        <is>
          <t>2026-09-08</t>
        </is>
      </c>
    </row>
    <row r="234">
      <c r="A234" t="inlineStr">
        <is>
          <t>2026-09-11</t>
        </is>
      </c>
      <c r="B234" t="inlineStr">
        <is>
          <t>Insurtech</t>
        </is>
      </c>
      <c r="C234" t="inlineStr">
        <is>
          <t>Technology &amp; AI</t>
        </is>
      </c>
      <c r="D234" t="inlineStr">
        <is>
          <t>United States</t>
        </is>
      </c>
      <c r="E234" t="inlineStr">
        <is>
          <t>Insureon and LIO partner to bring AI underwriting to specialty small-business insurance</t>
        </is>
      </c>
      <c r="F234" t="inlineStr">
        <is>
          <t>Digital insurance agency Insureon partnered with LIO to embed AI-powered underwriting for specialty risks into its small-business insurance marketplace, aiming to speed quotes for harder-to-place coverage.</t>
        </is>
      </c>
      <c r="G234" t="inlineStr">
        <is>
          <t>FinTech Global</t>
        </is>
      </c>
      <c r="H234" t="inlineStr">
        <is>
          <t>https://fintech.global/2026/09/08/insureon-and-lio-bring-ai-powered-underwriting-to-specialty-insurance/</t>
        </is>
      </c>
      <c r="I234" t="inlineStr">
        <is>
          <t>2026-09-08</t>
        </is>
      </c>
    </row>
    <row r="235">
      <c r="A235" t="inlineStr">
        <is>
          <t>2026-09-11</t>
        </is>
      </c>
      <c r="B235" t="inlineStr">
        <is>
          <t>Life &amp; Annuities</t>
        </is>
      </c>
      <c r="C235" t="inlineStr">
        <is>
          <t>Regulatory &amp; Policy</t>
        </is>
      </c>
      <c r="D235" t="inlineStr">
        <is>
          <t>India</t>
        </is>
      </c>
      <c r="E235" t="inlineStr">
        <is>
          <t>India's insurers move to new accounting standard Ind AS 117 for insurance contracts</t>
        </is>
      </c>
      <c r="F235" t="inlineStr">
        <is>
          <t>IRDAI facilitated implementation of Indian Accounting Standards as of September 9, 2026, requiring insurers to report under Ind AS 117 for insurance contracts and Ind AS 109 for financial instruments starting in the new fiscal year.</t>
        </is>
      </c>
      <c r="G235" t="inlineStr">
        <is>
          <t>Enterslice</t>
        </is>
      </c>
      <c r="H235" t="inlineStr">
        <is>
          <t>https://enterslice.com/learning/irdai-ind-as-plan-for-insurers-policyholder-insights/</t>
        </is>
      </c>
      <c r="I235" t="inlineStr">
        <is>
          <t>2026-09-09</t>
        </is>
      </c>
    </row>
    <row r="236">
      <c r="A236" t="inlineStr">
        <is>
          <t>2026-09-11</t>
        </is>
      </c>
      <c r="B236" t="inlineStr">
        <is>
          <t>Wealth Management</t>
        </is>
      </c>
      <c r="C236" t="inlineStr">
        <is>
          <t>Investments &amp; Funding</t>
        </is>
      </c>
      <c r="D236" t="inlineStr">
        <is>
          <t>United States</t>
        </is>
      </c>
      <c r="E236" t="inlineStr">
        <is>
          <t>Savvy Wealth raises $100 million as valuation hits $600 million</t>
        </is>
      </c>
      <c r="F236" t="inlineStr">
        <is>
          <t>Advisor platform Savvy Wealth closed a $100 million funding round that values the company at $600 million, after recruiting more than $4 billion in assets and doubling its advisor headcount to 150 over the past year.</t>
        </is>
      </c>
      <c r="G236" t="inlineStr">
        <is>
          <t>WealthManagement.com</t>
        </is>
      </c>
      <c r="H236" t="inlineStr">
        <is>
          <t>https://www.wealthmanagement.com/ria-news/savvy-wealth-raises-100m-valuation-hits-600m</t>
        </is>
      </c>
      <c r="I236" t="inlineStr">
        <is>
          <t>2026-09-09</t>
        </is>
      </c>
    </row>
    <row r="237">
      <c r="A237" t="inlineStr">
        <is>
          <t>2026-09-11</t>
        </is>
      </c>
      <c r="B237" t="inlineStr">
        <is>
          <t>Healthcare / Provider &amp; Clinical</t>
        </is>
      </c>
      <c r="C237" t="inlineStr">
        <is>
          <t>Investments &amp; Funding</t>
        </is>
      </c>
      <c r="D237" t="inlineStr">
        <is>
          <t>United States</t>
        </is>
      </c>
      <c r="E237" t="inlineStr">
        <is>
          <t>ARPA-H commits $63 million to build autonomous AI heart-failure treatment system</t>
        </is>
      </c>
      <c r="F237" t="inlineStr">
        <is>
          <t>The federal health research agency ARPA-H committed $63 million to develop an autonomous, FDA-authorized agentic AI system for heart-failure treatment targeting underserved populations, with work performed by Atman Health, Tempus AI, Stanford, Duke and Kaiser Permanente.</t>
        </is>
      </c>
      <c r="G237" t="inlineStr">
        <is>
          <t>HIStalk</t>
        </is>
      </c>
      <c r="H237" t="inlineStr">
        <is>
          <t>https://histalk2.com/2026/09/09/healthcare-ai-news-9-9-26/</t>
        </is>
      </c>
      <c r="I237" t="inlineStr">
        <is>
          <t>2026-09-09</t>
        </is>
      </c>
    </row>
    <row r="238">
      <c r="A238" t="inlineStr">
        <is>
          <t>2026-09-11</t>
        </is>
      </c>
      <c r="B238" t="inlineStr">
        <is>
          <t>Wealth Management</t>
        </is>
      </c>
      <c r="C238" t="inlineStr">
        <is>
          <t>Technology &amp; AI</t>
        </is>
      </c>
      <c r="D238" t="inlineStr">
        <is>
          <t>United States</t>
        </is>
      </c>
      <c r="E238" t="inlineStr">
        <is>
          <t>&amp;Partners standardizes estate planning workflow on Wealth.com's AI platform</t>
        </is>
      </c>
      <c r="F238" t="inlineStr">
        <is>
          <t>Advisory firm &amp;Partners named Wealth.com its enterprise-wide estate and tax planning solution, giving more than 100 advisors an AI-driven, standardized way to review client estate documents and spot planning gaps.</t>
        </is>
      </c>
      <c r="G238" t="inlineStr">
        <is>
          <t>FinTech Global</t>
        </is>
      </c>
      <c r="H238" t="inlineStr">
        <is>
          <t>https://fintech.global/2026/09/10/partners-picks-wealth-com-for-estate-planning-rollout/</t>
        </is>
      </c>
      <c r="I238" t="inlineStr">
        <is>
          <t>2026-09-10</t>
        </is>
      </c>
    </row>
    <row r="239">
      <c r="A239" t="inlineStr">
        <is>
          <t>2026-09-11</t>
        </is>
      </c>
      <c r="B239" t="inlineStr">
        <is>
          <t>Insurtech</t>
        </is>
      </c>
      <c r="C239" t="inlineStr">
        <is>
          <t>Technology &amp; AI</t>
        </is>
      </c>
      <c r="D239" t="inlineStr">
        <is>
          <t>Global</t>
        </is>
      </c>
      <c r="E239" t="inlineStr">
        <is>
          <t>AI risk factors seen entering 60-80% of liability and cyber underwriting by 2028</t>
        </is>
      </c>
      <c r="F239" t="inlineStr">
        <is>
          <t>Research firm ScienceSoft predicts AI-related exposures will factor into 60% to 80% of new policies and renewals in E&amp;O, D&amp;O, employment-practices and cyber lines by 2028, though most midsize insurers will keep covering AI risk within existing lines rather than standalone policies.</t>
        </is>
      </c>
      <c r="G239" t="inlineStr">
        <is>
          <t>GlobeNewswire</t>
        </is>
      </c>
      <c r="H239" t="inlineStr">
        <is>
          <t>https://www.globenewswire.com/news-release/2026/09/10/3359624/0/en/ai-risks-to-enter-60-80-of-liability-and-cyber-insurance-underwriting-by-2028-sciencesoft-predicts.html</t>
        </is>
      </c>
      <c r="I239" t="inlineStr">
        <is>
          <t>2026-09-10</t>
        </is>
      </c>
    </row>
    <row r="240">
      <c r="A240" t="inlineStr">
        <is>
          <t>2026-09-12</t>
        </is>
      </c>
      <c r="B240" t="inlineStr">
        <is>
          <t>Property &amp; Casualty</t>
        </is>
      </c>
      <c r="C240" t="inlineStr">
        <is>
          <t>Regulatory &amp; Policy</t>
        </is>
      </c>
      <c r="D240" t="inlineStr">
        <is>
          <t>United States</t>
        </is>
      </c>
      <c r="E240" t="inlineStr">
        <is>
          <t>NAIC's first nationwide homeowners study finds premiums up as much as 43% in the West since 2018</t>
        </is>
      </c>
      <c r="F240" t="inlineStr">
        <is>
          <t>A first-of-its-kind NAIC analysis of seven years of market conduct data found average homeowners premiums rose 18% in the Northeast, 25% in the Midwest, 27% in the Southeast and 43% in the West even after adjusting for inflation.</t>
        </is>
      </c>
      <c r="G240" t="inlineStr">
        <is>
          <t>NAIC</t>
        </is>
      </c>
      <c r="H240" t="inlineStr">
        <is>
          <t>https://content.naic.org/article/naic-releases-first-its-kind-national-analysis-homeowners-insurance-market-trends</t>
        </is>
      </c>
      <c r="I240" t="inlineStr">
        <is>
          <t>2026-07-31</t>
        </is>
      </c>
    </row>
    <row r="241">
      <c r="A241" t="inlineStr">
        <is>
          <t>2026-09-12</t>
        </is>
      </c>
      <c r="B241" t="inlineStr">
        <is>
          <t>Property &amp; Casualty</t>
        </is>
      </c>
      <c r="C241" t="inlineStr">
        <is>
          <t>Regulatory &amp; Policy</t>
        </is>
      </c>
      <c r="D241" t="inlineStr">
        <is>
          <t>India</t>
        </is>
      </c>
      <c r="E241" t="inlineStr">
        <is>
          <t>IRDAI approves two general insurers to raise foreign ownership beyond 74% under new FDI norms</t>
        </is>
      </c>
      <c r="F241" t="inlineStr">
        <is>
          <t>India's insurance regulator approved two general insurance companies to increase foreign shareholding beyond the previous 74% ceiling, among the first movers since the government opened the door to 100% foreign investment in insurers.</t>
        </is>
      </c>
      <c r="G241" t="inlineStr">
        <is>
          <t>Whalesbook</t>
        </is>
      </c>
      <c r="H241" t="inlineStr">
        <is>
          <t>https://www.whalesbook.com/news/English/bankingfinance/IRDAI-Approves-Two-General-Insurance-Licenses-Under-100percent-FDI-Norms/6a43ca7efb97bcde4ce72457</t>
        </is>
      </c>
      <c r="I241" t="inlineStr">
        <is>
          <t>2026-08-01</t>
        </is>
      </c>
    </row>
    <row r="242">
      <c r="A242" t="inlineStr">
        <is>
          <t>2026-09-12</t>
        </is>
      </c>
      <c r="B242" t="inlineStr">
        <is>
          <t>TPA</t>
        </is>
      </c>
      <c r="C242" t="inlineStr">
        <is>
          <t>People &amp; Leadership</t>
        </is>
      </c>
      <c r="D242" t="inlineStr">
        <is>
          <t>United States</t>
        </is>
      </c>
      <c r="E242" t="inlineStr">
        <is>
          <t>Marpai recognized among 2025's top health-plan third-party administrators</t>
        </is>
      </c>
      <c r="F242" t="inlineStr">
        <is>
          <t>Marpai was named a top health-plan third-party administrator for 2025 by Insurance Business Review Magazine, recognition the company is highlighting as it competes for self-funded employer business.</t>
        </is>
      </c>
      <c r="G242" t="inlineStr">
        <is>
          <t>Barchart</t>
        </is>
      </c>
      <c r="H242" t="inlineStr">
        <is>
          <t>https://www.barchart.com/story/news/35442785/marpai-recognized-as-2025-top-third-party-administrator</t>
        </is>
      </c>
      <c r="I242" t="inlineStr">
        <is>
          <t>2026-08-15</t>
        </is>
      </c>
    </row>
    <row r="243">
      <c r="A243" t="inlineStr">
        <is>
          <t>2026-09-12</t>
        </is>
      </c>
      <c r="B243" t="inlineStr">
        <is>
          <t>Insurtech</t>
        </is>
      </c>
      <c r="C243" t="inlineStr">
        <is>
          <t>M&amp;A</t>
        </is>
      </c>
      <c r="D243" t="inlineStr">
        <is>
          <t>Global</t>
        </is>
      </c>
      <c r="E243" t="inlineStr">
        <is>
          <t>Munich Re to acquire cyber insurtech At-Bay for $575 million in its largest primary cyber move</t>
        </is>
      </c>
      <c r="F243" t="inlineStr">
        <is>
          <t>Munich Re agreed to acquire At-Bay, a top-10 US cyber insurer, for $575 million, roughly a 2x multiple on At-Bay's gross written premiums, folding it into its Hartford Steam Boiler specialty unit.</t>
        </is>
      </c>
      <c r="G243" t="inlineStr">
        <is>
          <t>Insurance Business</t>
        </is>
      </c>
      <c r="H243" t="inlineStr">
        <is>
          <t>https://www.insurancebusinessmag.com/us/news/mergers-acquisitions/munich-re-acquires-cyber-insurtech-atbay-for-575-million-586661.aspx</t>
        </is>
      </c>
      <c r="I243" t="inlineStr">
        <is>
          <t>2026-08-19</t>
        </is>
      </c>
    </row>
    <row r="244">
      <c r="A244" t="inlineStr">
        <is>
          <t>2026-09-12</t>
        </is>
      </c>
      <c r="B244" t="inlineStr">
        <is>
          <t>Retirement</t>
        </is>
      </c>
      <c r="C244" t="inlineStr">
        <is>
          <t>Investments &amp; Funding</t>
        </is>
      </c>
      <c r="D244" t="inlineStr">
        <is>
          <t>United States</t>
        </is>
      </c>
      <c r="E244" t="inlineStr">
        <is>
          <t>Target-date funds edge toward embedding guaranteed lifetime income as adoption nears universal</t>
        </is>
      </c>
      <c r="F244" t="inlineStr">
        <is>
          <t>With target-date funds now used by the vast majority of defined contribution plans, providers are increasingly building retirement-income and annuity features directly into the glide path rather than offering them as separate options.</t>
        </is>
      </c>
      <c r="G244" t="inlineStr">
        <is>
          <t>PLANADVISER</t>
        </is>
      </c>
      <c r="H244" t="inlineStr">
        <is>
          <t>https://www.planadviser.com/nuts-and-bolts-target-date-funds-with-embedded-guaranteed-income/</t>
        </is>
      </c>
      <c r="I244" t="inlineStr">
        <is>
          <t>2026-08-20</t>
        </is>
      </c>
    </row>
    <row r="245">
      <c r="A245" t="inlineStr">
        <is>
          <t>2026-09-12</t>
        </is>
      </c>
      <c r="B245" t="inlineStr">
        <is>
          <t>Healthcare / Provider &amp; Clinical</t>
        </is>
      </c>
      <c r="C245" t="inlineStr">
        <is>
          <t>M&amp;A</t>
        </is>
      </c>
      <c r="D245" t="inlineStr">
        <is>
          <t>United States</t>
        </is>
      </c>
      <c r="E245" t="inlineStr">
        <is>
          <t>Sanford Health finalizes merger with North Memorial Health, entering the Twin Cities</t>
        </is>
      </c>
      <c r="F245" t="inlineStr">
        <is>
          <t>Sanford Health completed its merger with North Memorial Health under a 10-year Minnesota oversight agreement requiring $600 million in facility investment, forming a combined nonprofit system serving about 2.5 million patients.</t>
        </is>
      </c>
      <c r="G245" t="inlineStr">
        <is>
          <t>FOX 9</t>
        </is>
      </c>
      <c r="H245" t="inlineStr">
        <is>
          <t>https://www.fox9.com/news/sanford-health-completes-merger-north-memorial-health</t>
        </is>
      </c>
      <c r="I245" t="inlineStr">
        <is>
          <t>2026-09-01</t>
        </is>
      </c>
    </row>
    <row r="246">
      <c r="A246" t="inlineStr">
        <is>
          <t>2026-09-12</t>
        </is>
      </c>
      <c r="B246" t="inlineStr">
        <is>
          <t>Brokers &amp; MGA/GA</t>
        </is>
      </c>
      <c r="C246" t="inlineStr">
        <is>
          <t>M&amp;A</t>
        </is>
      </c>
      <c r="D246" t="inlineStr">
        <is>
          <t>United States</t>
        </is>
      </c>
      <c r="E246" t="inlineStr">
        <is>
          <t>Marsh McLennan Agency acquires 90-year-old Midwest broker The Accel Group</t>
        </is>
      </c>
      <c r="F246" t="inlineStr">
        <is>
          <t>Marsh McLennan Agency acquired The Accel Group, a broker founded in 1936 with seven offices across Iowa, Illinois, Missouri and Kansas and more than 130 employees, extending MMA's Midwest footprint.</t>
        </is>
      </c>
      <c r="G246" t="inlineStr">
        <is>
          <t>Insurance Journal</t>
        </is>
      </c>
      <c r="H246" t="inlineStr">
        <is>
          <t>https://www.insurancejournal.com/magazines/mag-business-moves/2026/09/07/883942.htm</t>
        </is>
      </c>
      <c r="I246" t="inlineStr">
        <is>
          <t>2026-09-07</t>
        </is>
      </c>
    </row>
    <row r="247">
      <c r="A247" t="inlineStr">
        <is>
          <t>2026-09-12</t>
        </is>
      </c>
      <c r="B247" t="inlineStr">
        <is>
          <t>Health Insurance / Payer</t>
        </is>
      </c>
      <c r="C247" t="inlineStr">
        <is>
          <t>Regulatory &amp; Policy</t>
        </is>
      </c>
      <c r="D247" t="inlineStr">
        <is>
          <t>United States</t>
        </is>
      </c>
      <c r="E247" t="inlineStr">
        <is>
          <t>White House pledges $500 ACA rebate checks to about 1 million exchange enrollees in 30 states</t>
        </is>
      </c>
      <c r="F247" t="inlineStr">
        <is>
          <t>The administration said it will send $500 rebate checks to roughly a million people enrolled in federal ACA exchanges who don't receive premium subsidies, funded by exchange user-fee surplus, though funding and legal details remain unresolved.</t>
        </is>
      </c>
      <c r="G247" t="inlineStr">
        <is>
          <t>The Washington Post</t>
        </is>
      </c>
      <c r="H247" t="inlineStr">
        <is>
          <t>https://www.washingtonpost.com/politics/2026/09/10/trump-says-administration-will-send-500-rebates-obamacare-premiums/</t>
        </is>
      </c>
      <c r="I247" t="inlineStr">
        <is>
          <t>2026-09-10</t>
        </is>
      </c>
    </row>
    <row r="248">
      <c r="A248" t="inlineStr">
        <is>
          <t>2026-09-12</t>
        </is>
      </c>
      <c r="B248" t="inlineStr">
        <is>
          <t>FinTech</t>
        </is>
      </c>
      <c r="C248" t="inlineStr">
        <is>
          <t>Investments &amp; Funding</t>
        </is>
      </c>
      <c r="D248" t="inlineStr">
        <is>
          <t>Global</t>
        </is>
      </c>
      <c r="E248" t="inlineStr">
        <is>
          <t>Fintech sector raises $4.5 billion across 18 deals in a single week</t>
        </is>
      </c>
      <c r="F248" t="inlineStr">
        <is>
          <t>Fintech and adjacent technology firms raised more than $4.5 billion across 18 deals in one week, led by a mega-round in AI infrastructure alongside a run of nine-figure raises spanning cybersecurity, wealthtech and digital assets.</t>
        </is>
      </c>
      <c r="G248" t="inlineStr">
        <is>
          <t>FinTech Global</t>
        </is>
      </c>
      <c r="H248" t="inlineStr">
        <is>
          <t>https://fintech.global/2026/09/11/more-than-4-5bn-raised-across-18-fintech-deals/</t>
        </is>
      </c>
      <c r="I248" t="inlineStr">
        <is>
          <t>2026-09-11</t>
        </is>
      </c>
    </row>
    <row r="249">
      <c r="A249" t="inlineStr">
        <is>
          <t>2026-09-13</t>
        </is>
      </c>
      <c r="B249" t="inlineStr">
        <is>
          <t>Property &amp; Casualty</t>
        </is>
      </c>
      <c r="C249" t="inlineStr">
        <is>
          <t>Market Economics</t>
        </is>
      </c>
      <c r="D249" t="inlineStr">
        <is>
          <t>United States</t>
        </is>
      </c>
      <c r="E249" t="inlineStr">
        <is>
          <t>Casualty lines stay under pressure from nuclear verdicts even as broader P&amp;C market softens</t>
        </is>
      </c>
      <c r="F249" t="inlineStr">
        <is>
          <t>IMA Financial Group's Q2 2026 market update found excess liability, umbrella and commercial auto lines still strained by claim severity and large jury verdicts, a contrast to easing property rates across much of the commercial P&amp;C book.</t>
        </is>
      </c>
      <c r="G249" t="inlineStr">
        <is>
          <t>IMA Financial Group</t>
        </is>
      </c>
      <c r="H249" t="inlineStr">
        <is>
          <t>https://imacorp.com/insights/property-casualty-markets-in-focus-q2-2026</t>
        </is>
      </c>
      <c r="I249" t="inlineStr">
        <is>
          <t>2026-08-01</t>
        </is>
      </c>
    </row>
    <row r="250">
      <c r="A250" t="inlineStr">
        <is>
          <t>2026-09-13</t>
        </is>
      </c>
      <c r="B250" t="inlineStr">
        <is>
          <t>TPA</t>
        </is>
      </c>
      <c r="C250" t="inlineStr">
        <is>
          <t>Regulatory &amp; Policy</t>
        </is>
      </c>
      <c r="D250" t="inlineStr">
        <is>
          <t>United States</t>
        </is>
      </c>
      <c r="E250" t="inlineStr">
        <is>
          <t>New federal law extends fee-disclosure rules to TPAs and PBMs starting 2028</t>
        </is>
      </c>
      <c r="F250" t="inlineStr">
        <is>
          <t>The Consolidated Appropriations Act of 2026 amends ERISA's service-provider compensation disclosure requirements to apply directly to third-party administrators and pharmacy benefit managers beginning in 2028, part of a broader shift redistributing PBM profits toward plan sponsors.</t>
        </is>
      </c>
      <c r="G250" t="inlineStr">
        <is>
          <t>AJMC</t>
        </is>
      </c>
      <c r="H250" t="inlineStr">
        <is>
          <t>https://www.ajmc.com/view/federal-pbm-compensation-shifts-early-caa-2026-considerations</t>
        </is>
      </c>
      <c r="I250" t="inlineStr">
        <is>
          <t>2026-08-15</t>
        </is>
      </c>
    </row>
    <row r="251">
      <c r="A251" t="inlineStr">
        <is>
          <t>2026-09-13</t>
        </is>
      </c>
      <c r="B251" t="inlineStr">
        <is>
          <t>TPA</t>
        </is>
      </c>
      <c r="C251" t="inlineStr">
        <is>
          <t>Market Economics</t>
        </is>
      </c>
      <c r="D251" t="inlineStr">
        <is>
          <t>United States</t>
        </is>
      </c>
      <c r="E251" t="inlineStr">
        <is>
          <t>TPA industry consolidates further as private-equity-backed roll-ups chase scale</t>
        </is>
      </c>
      <c r="F251" t="inlineStr">
        <is>
          <t>Industry coverage of the shifting TPA landscape points to continued private-equity-driven acquisitions as administrators pursue the scale needed to serve multiple lines of business profitably amid margin pressure.</t>
        </is>
      </c>
      <c r="G251" t="inlineStr">
        <is>
          <t>PLANSPONSOR</t>
        </is>
      </c>
      <c r="H251" t="inlineStr">
        <is>
          <t>https://www.plansponsor.com/tpa-landscape-changing/</t>
        </is>
      </c>
      <c r="I251" t="inlineStr">
        <is>
          <t>2026-08-20</t>
        </is>
      </c>
    </row>
    <row r="252">
      <c r="A252" t="inlineStr">
        <is>
          <t>2026-09-13</t>
        </is>
      </c>
      <c r="B252" t="inlineStr">
        <is>
          <t>Wealth Management</t>
        </is>
      </c>
      <c r="C252" t="inlineStr">
        <is>
          <t>M&amp;A</t>
        </is>
      </c>
      <c r="D252" t="inlineStr">
        <is>
          <t>United States</t>
        </is>
      </c>
      <c r="E252" t="inlineStr">
        <is>
          <t>Vanguard agrees to acquire RIA custody platform Altruist in deal valued near $4 billion</t>
        </is>
      </c>
      <c r="F252" t="inlineStr">
        <is>
          <t>Vanguard and Altruist announced a definitive agreement for Vanguard to acquire the venture-backed custody and technology platform, which serves more than 6,000 advisors; Altruist will keep operating under its own brand as the deal is expected to close later this year.</t>
        </is>
      </c>
      <c r="G252" t="inlineStr">
        <is>
          <t>InvestmentNews</t>
        </is>
      </c>
      <c r="H252" t="inlineStr">
        <is>
          <t>https://www.investmentnews.com/goria/custodian/vanguard-to-acquire-altruist-expanding-advisor-technology-reach/267963</t>
        </is>
      </c>
      <c r="I252" t="inlineStr">
        <is>
          <t>2026-08-26</t>
        </is>
      </c>
    </row>
    <row r="253">
      <c r="A253" t="inlineStr">
        <is>
          <t>2026-09-13</t>
        </is>
      </c>
      <c r="B253" t="inlineStr">
        <is>
          <t>Life &amp; Annuities</t>
        </is>
      </c>
      <c r="C253" t="inlineStr">
        <is>
          <t>Regulatory &amp; Policy</t>
        </is>
      </c>
      <c r="D253" t="inlineStr">
        <is>
          <t>India</t>
        </is>
      </c>
      <c r="E253" t="inlineStr">
        <is>
          <t>India's GST exemption and 100% FDI reform continue reshaping life and health insurance growth outlook</t>
        </is>
      </c>
      <c r="F253" t="inlineStr">
        <is>
          <t>Analysts say India's move to exempt individual life and health premiums from GST and to allow full foreign ownership of insurers is fueling a bullish 2026 growth outlook, even as regulators push further digital and policy reforms toward universal coverage.</t>
        </is>
      </c>
      <c r="G253" t="inlineStr">
        <is>
          <t>Whalesbook</t>
        </is>
      </c>
      <c r="H253" t="inlineStr">
        <is>
          <t>https://www.whalesbook.com/news/English/Insurance/Indias-Insurance-Sector-Ignites-Policy-Reforms-and-Digital-Surge-Propel-2025-Growth-Bullish-2026-Outlook/694d3cdbe10c98d0788964de</t>
        </is>
      </c>
      <c r="I253" t="inlineStr">
        <is>
          <t>2026-09-01</t>
        </is>
      </c>
    </row>
    <row r="254">
      <c r="A254" t="inlineStr">
        <is>
          <t>2026-09-13</t>
        </is>
      </c>
      <c r="B254" t="inlineStr">
        <is>
          <t>Property &amp; Casualty</t>
        </is>
      </c>
      <c r="C254" t="inlineStr">
        <is>
          <t>Regulatory &amp; Policy</t>
        </is>
      </c>
      <c r="D254" t="inlineStr">
        <is>
          <t>UK/Europe</t>
        </is>
      </c>
      <c r="E254" t="inlineStr">
        <is>
          <t>UK regulators propose lighter-touch regime for captive insurers</t>
        </is>
      </c>
      <c r="F254" t="inlineStr">
        <is>
          <t>The Bank of England's PRA and the FCA opened a joint consultation on a bespoke UK captive insurer framework sitting outside Solvency UK, promising lower capital and reporting burdens and a four-to-six-week authorization target ahead of a planned mid-2027 launch.</t>
        </is>
      </c>
      <c r="G254" t="inlineStr">
        <is>
          <t>Slaughter and May</t>
        </is>
      </c>
      <c r="H254" t="inlineStr">
        <is>
          <t>https://www.slaughterandmay.com/insights/new-insights/insurance-update-recent-developments-from-the-fca-and-pra/</t>
        </is>
      </c>
      <c r="I254" t="inlineStr">
        <is>
          <t>2026-09-01</t>
        </is>
      </c>
    </row>
    <row r="255">
      <c r="A255" t="inlineStr">
        <is>
          <t>2026-09-13</t>
        </is>
      </c>
      <c r="B255" t="inlineStr">
        <is>
          <t>Brokers &amp; MGA/GA</t>
        </is>
      </c>
      <c r="C255" t="inlineStr">
        <is>
          <t>Regulatory &amp; Policy</t>
        </is>
      </c>
      <c r="D255" t="inlineStr">
        <is>
          <t>UK/Europe</t>
        </is>
      </c>
      <c r="E255" t="inlineStr">
        <is>
          <t>UK's MGAA appoints Padda Consulting as compliance and regulatory partner</t>
        </is>
      </c>
      <c r="F255" t="inlineStr">
        <is>
          <t>The Managing General Agents' Association named Padda Consulting its new UK compliance and regulatory partner effective September 1, 2026, aiming to help MGA members keep pace with evolving regulatory requirements.</t>
        </is>
      </c>
      <c r="G255" t="inlineStr">
        <is>
          <t>Insurance Times</t>
        </is>
      </c>
      <c r="H255" t="inlineStr">
        <is>
          <t>https://www.insurancetimes.co.uk/news/mgaa-appoints-new-compliance-and-regulatory-partner/1459232.article</t>
        </is>
      </c>
      <c r="I255" t="inlineStr">
        <is>
          <t>2026-09-01</t>
        </is>
      </c>
    </row>
    <row r="256">
      <c r="A256" t="inlineStr">
        <is>
          <t>2026-09-13</t>
        </is>
      </c>
      <c r="B256" t="inlineStr">
        <is>
          <t>Insurtech</t>
        </is>
      </c>
      <c r="C256" t="inlineStr">
        <is>
          <t>Regulatory &amp; Policy</t>
        </is>
      </c>
      <c r="D256" t="inlineStr">
        <is>
          <t>UK/Europe</t>
        </is>
      </c>
      <c r="E256" t="inlineStr">
        <is>
          <t>EU insurers face narrowing window to prove AI governance to supervisors</t>
        </is>
      </c>
      <c r="F256" t="inlineStr">
        <is>
          <t>European regulators are converging on binding AI governance standards for insurers, with a monthly regulatory tracker warning that carriers without documented AI oversight frameworks face a shrinking compliance runway.</t>
        </is>
      </c>
      <c r="G256" t="inlineStr">
        <is>
          <t>OriginBrief</t>
        </is>
      </c>
      <c r="H256" t="inlineStr">
        <is>
          <t>https://www.originbrief.app/en/reports/insurance-industry-regulation/2026-09-01/monthly</t>
        </is>
      </c>
      <c r="I256" t="inlineStr">
        <is>
          <t>2026-09-01</t>
        </is>
      </c>
    </row>
    <row r="257">
      <c r="A257" t="inlineStr">
        <is>
          <t>2026-09-13</t>
        </is>
      </c>
      <c r="B257" t="inlineStr">
        <is>
          <t>Health Insurance / Payer</t>
        </is>
      </c>
      <c r="C257" t="inlineStr">
        <is>
          <t>Regulatory &amp; Policy</t>
        </is>
      </c>
      <c r="D257" t="inlineStr">
        <is>
          <t>United States</t>
        </is>
      </c>
      <c r="E257" t="inlineStr">
        <is>
          <t>Bipartisan 'Doctors Not AI Act' would bar algorithms from final medical-necessity denials</t>
        </is>
      </c>
      <c r="F257" t="inlineStr">
        <is>
          <t>Rep. Greg Landsman's bill, introduced September 1, would require a licensed clinician to make the final call on medical-necessity claim denials at group health plans and insurers, permitting AI only in a supporting role with disclosure requirements.</t>
        </is>
      </c>
      <c r="G257" t="inlineStr">
        <is>
          <t>PYMNTS</t>
        </is>
      </c>
      <c r="H257" t="inlineStr">
        <is>
          <t>https://www.pymnts.com/news/artificial-intelligence/2026/congress-returns-with-sweeping-ai-bills-targeting-superintelligence-health-insurance/</t>
        </is>
      </c>
      <c r="I257" t="inlineStr">
        <is>
          <t>2026-09-01</t>
        </is>
      </c>
    </row>
    <row r="258">
      <c r="A258" t="inlineStr">
        <is>
          <t>2026-09-13</t>
        </is>
      </c>
      <c r="B258" t="inlineStr">
        <is>
          <t>Health Insurance / Payer</t>
        </is>
      </c>
      <c r="C258" t="inlineStr">
        <is>
          <t>Market Economics</t>
        </is>
      </c>
      <c r="D258" t="inlineStr">
        <is>
          <t>United States</t>
        </is>
      </c>
      <c r="E258" t="inlineStr">
        <is>
          <t>UnitedHealthcare tightens lab-test reimbursement across commercial and government plans</t>
        </is>
      </c>
      <c r="F258" t="inlineStr">
        <is>
          <t>UnitedHealthcare began applying stricter reimbursement rules for lab tests across its commercial, Medicare Advantage, exchange and Medicaid plans starting September 1, part of a broader wave of payer reimbursement changes this month.</t>
        </is>
      </c>
      <c r="G258" t="inlineStr">
        <is>
          <t>DistilInfo</t>
        </is>
      </c>
      <c r="H258" t="inlineStr">
        <is>
          <t>https://distilinfo.com/2026/09/02/payer-reimbursement-changes-september/</t>
        </is>
      </c>
      <c r="I258" t="inlineStr">
        <is>
          <t>2026-09-02</t>
        </is>
      </c>
    </row>
    <row r="259">
      <c r="A259" t="inlineStr">
        <is>
          <t>2026-09-13</t>
        </is>
      </c>
      <c r="B259" t="inlineStr">
        <is>
          <t>Brokers &amp; MGA/GA</t>
        </is>
      </c>
      <c r="C259" t="inlineStr">
        <is>
          <t>Technology &amp; AI</t>
        </is>
      </c>
      <c r="D259" t="inlineStr">
        <is>
          <t>United States</t>
        </is>
      </c>
      <c r="E259" t="inlineStr">
        <is>
          <t>Exclusive Underwriting Managers launches plug-and-play MGA platform</t>
        </is>
      </c>
      <c r="F259" t="inlineStr">
        <is>
          <t>The insurance MGA platform provider launched an advanced plug-and-play system designed to accelerate partner growth and give underwriting teams a faster path to equity participation in the programs they build.</t>
        </is>
      </c>
      <c r="G259" t="inlineStr">
        <is>
          <t>PR Newswire</t>
        </is>
      </c>
      <c r="H259" t="inlineStr">
        <is>
          <t>https://www.prnewswire.com/news-releases/exclusive-underwriting-managers-launches-advanced-plug-and-play-mga-platform-to-accelerate-partner-growth-and-equity-302808688.html</t>
        </is>
      </c>
      <c r="I259" t="inlineStr">
        <is>
          <t>2026-09-08</t>
        </is>
      </c>
    </row>
    <row r="260">
      <c r="A260" t="inlineStr">
        <is>
          <t>2026-09-14</t>
        </is>
      </c>
      <c r="B260" t="inlineStr">
        <is>
          <t>FinTech</t>
        </is>
      </c>
      <c r="C260" t="inlineStr">
        <is>
          <t>Investments &amp; Funding</t>
        </is>
      </c>
      <c r="D260" t="inlineStr">
        <is>
          <t>Global</t>
        </is>
      </c>
      <c r="E260" t="inlineStr">
        <is>
          <t>Cloud security startup Upwind reaches unicorn status with $250 million Series B</t>
        </is>
      </c>
      <c r="F260" t="inlineStr">
        <is>
          <t>Upwind raised a $250 million Series B led by Bessemer Venture Partners at a $1.5 billion valuation, bringing total funding to $430 million as it scales runtime-first cloud security tools relevant to financial-services risk teams.</t>
        </is>
      </c>
      <c r="G260" t="inlineStr">
        <is>
          <t>Business Wire</t>
        </is>
      </c>
      <c r="H260" t="inlineStr">
        <is>
          <t>https://www.businesswire.com/news/home/20260126965572/en/Cloud-Security-Unicorn-Upwind-Secures-250-Million-Series-B</t>
        </is>
      </c>
      <c r="I260" t="inlineStr">
        <is>
          <t>2026-01-26</t>
        </is>
      </c>
    </row>
    <row r="261">
      <c r="A261" t="inlineStr">
        <is>
          <t>2026-09-14</t>
        </is>
      </c>
      <c r="B261" t="inlineStr">
        <is>
          <t>Insurtech</t>
        </is>
      </c>
      <c r="C261" t="inlineStr">
        <is>
          <t>Technology &amp; AI</t>
        </is>
      </c>
      <c r="D261" t="inlineStr">
        <is>
          <t>Global</t>
        </is>
      </c>
      <c r="E261" t="inlineStr">
        <is>
          <t>Cytora launches Autopilot, an end-to-end automated commercial underwriting platform</t>
        </is>
      </c>
      <c r="F261" t="inlineStr">
        <is>
          <t>Cytora launched Autopilot, described as the first end-to-end AI-automated underwriting platform for commercial insurance, aiming to run entire underwriting workflows with minimal manual intervention.</t>
        </is>
      </c>
      <c r="G261" t="inlineStr">
        <is>
          <t>Applied Systems</t>
        </is>
      </c>
      <c r="H261" t="inlineStr">
        <is>
          <t>https://www1.appliedsystems.com/en-us/news/press-releases/2026/cytora-launches-autopilot-to-deliver-insurance-workflows-that-run-themselves/</t>
        </is>
      </c>
      <c r="I261" t="inlineStr">
        <is>
          <t>2026-03-01</t>
        </is>
      </c>
    </row>
    <row r="262">
      <c r="A262" t="inlineStr">
        <is>
          <t>2026-09-14</t>
        </is>
      </c>
      <c r="B262" t="inlineStr">
        <is>
          <t>Healthcare / Provider &amp; Clinical</t>
        </is>
      </c>
      <c r="C262" t="inlineStr">
        <is>
          <t>M&amp;A</t>
        </is>
      </c>
      <c r="D262" t="inlineStr">
        <is>
          <t>United States</t>
        </is>
      </c>
      <c r="E262" t="inlineStr">
        <is>
          <t>Sutter Health and Allina Health agree to form $26 billion nonprofit system</t>
        </is>
      </c>
      <c r="F262" t="inlineStr">
        <is>
          <t>Sutter Health and Allina Health signed a definitive agreement to combine into a $26 billion nonprofit system spanning California, Minnesota and western Wisconsin, with Sutter committing $2 billion toward Allina's region.</t>
        </is>
      </c>
      <c r="G262" t="inlineStr">
        <is>
          <t>Healthcare Dive</t>
        </is>
      </c>
      <c r="H262" t="inlineStr">
        <is>
          <t>https://www.healthcaredive.com/news/sutter-allina-health-form-26-billion-nonprofit-system/815028/</t>
        </is>
      </c>
      <c r="I262" t="inlineStr">
        <is>
          <t>2026-05-01</t>
        </is>
      </c>
    </row>
    <row r="263">
      <c r="A263" t="inlineStr">
        <is>
          <t>2026-09-14</t>
        </is>
      </c>
      <c r="B263" t="inlineStr">
        <is>
          <t>Brokers &amp; MGA/GA</t>
        </is>
      </c>
      <c r="C263" t="inlineStr">
        <is>
          <t>M&amp;A</t>
        </is>
      </c>
      <c r="D263" t="inlineStr">
        <is>
          <t>United States</t>
        </is>
      </c>
      <c r="E263" t="inlineStr">
        <is>
          <t>TWFG continues agency and MGA acquisition streak with latest deal disclosure</t>
        </is>
      </c>
      <c r="F263" t="inlineStr">
        <is>
          <t>TWFG Insurance Services disclosed further agency and MGA acquisitions in an SEC filing, continuing its multi-year roll-up strategy of independent insurance distribution businesses.</t>
        </is>
      </c>
      <c r="G263" t="inlineStr">
        <is>
          <t>TWFG, Inc. (SEC Filing)</t>
        </is>
      </c>
      <c r="H263" t="inlineStr">
        <is>
          <t>https://www.sec.gov/Archives/edgar/data/0002007596/000162828026032140/a991pressreleasedatedmay72.htm</t>
        </is>
      </c>
      <c r="I263" t="inlineStr">
        <is>
          <t>2026-05-07</t>
        </is>
      </c>
    </row>
    <row r="264">
      <c r="A264" t="inlineStr">
        <is>
          <t>2026-09-14</t>
        </is>
      </c>
      <c r="B264" t="inlineStr">
        <is>
          <t>Brokers &amp; MGA/GA</t>
        </is>
      </c>
      <c r="C264" t="inlineStr">
        <is>
          <t>Market Economics</t>
        </is>
      </c>
      <c r="D264" t="inlineStr">
        <is>
          <t>United States</t>
        </is>
      </c>
      <c r="E264" t="inlineStr">
        <is>
          <t>PwC's midyear outlook sees insurance distribution M&amp;A staying resilient despite AI uncertainty</t>
        </is>
      </c>
      <c r="F264" t="inlineStr">
        <is>
          <t>PwC's 2026 midyear insurance deals outlook finds that despite growing deal scrutiny tied to how AI may disrupt distribution, the underlying strategic and financial drivers behind broker and MGA M&amp;A remain firmly intact.</t>
        </is>
      </c>
      <c r="G264" t="inlineStr">
        <is>
          <t>PwC</t>
        </is>
      </c>
      <c r="H264" t="inlineStr">
        <is>
          <t>https://www.pwc.com/us/en/industries/financial-services/library/insurance-deals-outlook.html</t>
        </is>
      </c>
      <c r="I264" t="inlineStr">
        <is>
          <t>2026-07-01</t>
        </is>
      </c>
    </row>
    <row r="265">
      <c r="A265" t="inlineStr">
        <is>
          <t>2026-09-14</t>
        </is>
      </c>
      <c r="B265" t="inlineStr">
        <is>
          <t>Insurtech</t>
        </is>
      </c>
      <c r="C265" t="inlineStr">
        <is>
          <t>Investments &amp; Funding</t>
        </is>
      </c>
      <c r="D265" t="inlineStr">
        <is>
          <t>United States</t>
        </is>
      </c>
      <c r="E265" t="inlineStr">
        <is>
          <t>Corgi raises $108 million to scale its AI-native insurance carrier for startups</t>
        </is>
      </c>
      <c r="F265" t="inlineStr">
        <is>
          <t>Corgi Insurance raised $108 million across a new Series A and earlier seed funding after winning regulatory approval to operate as a full-stack, AI-powered carrier, with annual recurring revenue already topping $40 million.</t>
        </is>
      </c>
      <c r="G265" t="inlineStr">
        <is>
          <t>PR Newswire</t>
        </is>
      </c>
      <c r="H265" t="inlineStr">
        <is>
          <t>https://www.prnewswire.com/news-releases/corgi-insurance-raises-108-million-receives-regulatory-approval-to-launch-the-first-full-stack-insurance-carrier-for-startups-302657727.html</t>
        </is>
      </c>
      <c r="I265" t="inlineStr">
        <is>
          <t>2026-08-01</t>
        </is>
      </c>
    </row>
    <row r="266">
      <c r="A266" t="inlineStr">
        <is>
          <t>2026-09-14</t>
        </is>
      </c>
      <c r="B266" t="inlineStr">
        <is>
          <t>Life &amp; Annuities</t>
        </is>
      </c>
      <c r="C266" t="inlineStr">
        <is>
          <t>Market Economics</t>
        </is>
      </c>
      <c r="D266" t="inlineStr">
        <is>
          <t>United States</t>
        </is>
      </c>
      <c r="E266" t="inlineStr">
        <is>
          <t>F&amp;G Annuities &amp; Life posts mixed second-quarter 2026 results</t>
        </is>
      </c>
      <c r="F266" t="inlineStr">
        <is>
          <t>F&amp;G reported a Q2 2026 GAAP net loss of $81 million but adjusted net earnings of $85 million, as the annuity and life insurer navigated realized investment losses against steady underlying growth.</t>
        </is>
      </c>
      <c r="G266" t="inlineStr">
        <is>
          <t>F&amp;G Annuities &amp; Life (SEC Filing)</t>
        </is>
      </c>
      <c r="H266" t="inlineStr">
        <is>
          <t>https://www.sec.gov/Archives/edgar/data/0001934850/000193485026000081/a2q26fgearningsrelease_f.htm</t>
        </is>
      </c>
      <c r="I266" t="inlineStr">
        <is>
          <t>2026-08-05</t>
        </is>
      </c>
    </row>
    <row r="267">
      <c r="A267" t="inlineStr">
        <is>
          <t>2026-09-14</t>
        </is>
      </c>
      <c r="B267" t="inlineStr">
        <is>
          <t>Property &amp; Casualty</t>
        </is>
      </c>
      <c r="C267" t="inlineStr">
        <is>
          <t>People &amp; Leadership</t>
        </is>
      </c>
      <c r="D267" t="inlineStr">
        <is>
          <t>APAC</t>
        </is>
      </c>
      <c r="E267" t="inlineStr">
        <is>
          <t>MSIG Asia names Ronak Shah as regional chief executive</t>
        </is>
      </c>
      <c r="F267" t="inlineStr">
        <is>
          <t>MSIG Asia appointed Ronak Shah as its new Regional CEO effective October 1, 2026, a leadership transition for the Asia-Pacific general insurer.</t>
        </is>
      </c>
      <c r="G267" t="inlineStr">
        <is>
          <t>Insurance-Edge.net</t>
        </is>
      </c>
      <c r="H267" t="inlineStr">
        <is>
          <t>https://insurance-edge.net/2026/08/24/job-moves-and-senior-appointments-24-08-2026/</t>
        </is>
      </c>
      <c r="I267" t="inlineStr">
        <is>
          <t>2026-08-24</t>
        </is>
      </c>
    </row>
    <row r="268">
      <c r="A268" t="inlineStr">
        <is>
          <t>2026-09-14</t>
        </is>
      </c>
      <c r="B268" t="inlineStr">
        <is>
          <t>Wealth Management</t>
        </is>
      </c>
      <c r="C268" t="inlineStr">
        <is>
          <t>M&amp;A</t>
        </is>
      </c>
      <c r="D268" t="inlineStr">
        <is>
          <t>United States</t>
        </is>
      </c>
      <c r="E268" t="inlineStr">
        <is>
          <t>Vanguard to acquire wealthtech platform Altruist for $4.6 billion</t>
        </is>
      </c>
      <c r="F268" t="inlineStr">
        <is>
          <t>Vanguard agreed to acquire Altruist, an AI-forward RIA custody and wealth-technology platform serving more than 6,000 advisors, in a deal expected to close later in 2026 and push Vanguard directly into custody competition with Schwab and Fidelity.</t>
        </is>
      </c>
      <c r="G268" t="inlineStr">
        <is>
          <t>Vanguard</t>
        </is>
      </c>
      <c r="H268" t="inlineStr">
        <is>
          <t>https://corporate.vanguard.com/content/corporatesite/us/en/corp/who-we-are/pressroom/press-release-vanguard-announcement-082626.html</t>
        </is>
      </c>
      <c r="I268" t="inlineStr">
        <is>
          <t>2026-08-26</t>
        </is>
      </c>
    </row>
    <row r="269">
      <c r="A269" t="inlineStr">
        <is>
          <t>2026-09-14</t>
        </is>
      </c>
      <c r="B269" t="inlineStr">
        <is>
          <t>Life &amp; Annuities</t>
        </is>
      </c>
      <c r="C269" t="inlineStr">
        <is>
          <t>Investments &amp; Funding</t>
        </is>
      </c>
      <c r="D269" t="inlineStr">
        <is>
          <t>Global</t>
        </is>
      </c>
      <c r="E269" t="inlineStr">
        <is>
          <t>Bermuda's life and annuity sidecar market nearly quadruples in four years</t>
        </is>
      </c>
      <c r="F269" t="inlineStr">
        <is>
          <t>A new Morningstar DBRS report cited in the Longevity &amp; Mortality Investor shows Bermuda's L&amp;A reinsurance sidecar market has grown almost fourfold over the past four years as carriers seek off-balance-sheet capital solutions.</t>
        </is>
      </c>
      <c r="G269" t="inlineStr">
        <is>
          <t>ELSA / Longevity &amp; Mortality Investor</t>
        </is>
      </c>
      <c r="H269" t="inlineStr">
        <is>
          <t>https://elsa-sls.org/longevity-mortality-investor-september-2026-issue-out-now/</t>
        </is>
      </c>
      <c r="I269" t="inlineStr">
        <is>
          <t>2026-09-01</t>
        </is>
      </c>
    </row>
    <row r="270">
      <c r="A270" t="inlineStr">
        <is>
          <t>2026-09-14</t>
        </is>
      </c>
      <c r="B270" t="inlineStr">
        <is>
          <t>Retirement</t>
        </is>
      </c>
      <c r="C270" t="inlineStr">
        <is>
          <t>Investments &amp; Funding</t>
        </is>
      </c>
      <c r="D270" t="inlineStr">
        <is>
          <t>United States</t>
        </is>
      </c>
      <c r="E270" t="inlineStr">
        <is>
          <t>Goldman Sachs flags four trends reshaping defined contribution plans in 2026</t>
        </is>
      </c>
      <c r="F270" t="inlineStr">
        <is>
          <t>Goldman Sachs Asset Management's 2026 outlook highlights personalized glidepaths, growing lifetime-income features, blended active-passive strategies, and expanding private-market access as the forces redefining DC plan design.</t>
        </is>
      </c>
      <c r="G270" t="inlineStr">
        <is>
          <t>Goldman Sachs Asset Management</t>
        </is>
      </c>
      <c r="H270" t="inlineStr">
        <is>
          <t>https://am.gs.com/en-us/advisors/insights/article/2026/defined-contribution-trends-2026</t>
        </is>
      </c>
      <c r="I270" t="inlineStr">
        <is>
          <t>2026-09-01</t>
        </is>
      </c>
    </row>
    <row r="271">
      <c r="A271" t="inlineStr">
        <is>
          <t>2026-09-14</t>
        </is>
      </c>
      <c r="B271" t="inlineStr">
        <is>
          <t>Investments</t>
        </is>
      </c>
      <c r="C271" t="inlineStr">
        <is>
          <t>Market Economics</t>
        </is>
      </c>
      <c r="D271" t="inlineStr">
        <is>
          <t>United States</t>
        </is>
      </c>
      <c r="E271" t="inlineStr">
        <is>
          <t>Target-date fund assets approach $5 trillion as adoption nears universal</t>
        </is>
      </c>
      <c r="F271" t="inlineStr">
        <is>
          <t>A 401(k) Specialist deep dive finds target-date fund assets nearing $5 trillion, cementing TDFs as the primary retirement-savings engine even as sponsors weigh new personalization and private-markets features.</t>
        </is>
      </c>
      <c r="G271" t="inlineStr">
        <is>
          <t>401(k) Specialist</t>
        </is>
      </c>
      <c r="H271" t="inlineStr">
        <is>
          <t>https://401kspecialistmag.com/target-date-funds-deep-dive/</t>
        </is>
      </c>
      <c r="I271" t="inlineStr">
        <is>
          <t>2026-09-01</t>
        </is>
      </c>
    </row>
    <row r="272">
      <c r="A272" t="inlineStr">
        <is>
          <t>2026-09-14</t>
        </is>
      </c>
      <c r="B272" t="inlineStr">
        <is>
          <t>Wealth Management</t>
        </is>
      </c>
      <c r="C272" t="inlineStr">
        <is>
          <t>Market Economics</t>
        </is>
      </c>
      <c r="D272" t="inlineStr">
        <is>
          <t>India</t>
        </is>
      </c>
      <c r="E272" t="inlineStr">
        <is>
          <t>India's mutual fund SIP inflows climb 12% year-on-year in July</t>
        </is>
      </c>
      <c r="F272" t="inlineStr">
        <is>
          <t>India's mutual fund industry recorded SIP inflows of roughly Rs 31,961 crore in July 2026, up 12% year-on-year, as total industry AUM grew to about Rs 85.76 lakh crore.</t>
        </is>
      </c>
      <c r="G272" t="inlineStr">
        <is>
          <t>Banking &amp; Finance</t>
        </is>
      </c>
      <c r="H272" t="inlineStr">
        <is>
          <t>https://www.bankingfinance.in/mutual-fund-news-for-september-2026.html</t>
        </is>
      </c>
      <c r="I272" t="inlineStr">
        <is>
          <t>2026-09-01</t>
        </is>
      </c>
    </row>
    <row r="273">
      <c r="A273" t="inlineStr">
        <is>
          <t>2026-09-14</t>
        </is>
      </c>
      <c r="B273" t="inlineStr">
        <is>
          <t>Property &amp; Casualty</t>
        </is>
      </c>
      <c r="C273" t="inlineStr">
        <is>
          <t>Market Economics</t>
        </is>
      </c>
      <c r="D273" t="inlineStr">
        <is>
          <t>Global</t>
        </is>
      </c>
      <c r="E273" t="inlineStr">
        <is>
          <t>Gallagher Re report shows reinsurance capital growth outpacing earlier estimates</t>
        </is>
      </c>
      <c r="F273" t="inlineStr">
        <is>
          <t>Gallagher Re's September half-year 2026 reinsurance market report finds traditional reinsurance capital on pace to grow 6% for the year, above earlier forecasts, on the back of a strong first-half performance.</t>
        </is>
      </c>
      <c r="G273" t="inlineStr">
        <is>
          <t>Gallagher Re</t>
        </is>
      </c>
      <c r="H273" t="inlineStr">
        <is>
          <t>https://www.ajg.com/gallagherre/-/media/files/gallagher/gallagherre/news-and-insights/2026/september/reinsurance-market-report-half-year-2026.pdf</t>
        </is>
      </c>
      <c r="I273" t="inlineStr">
        <is>
          <t>2026-09-01</t>
        </is>
      </c>
    </row>
    <row r="274">
      <c r="A274" t="inlineStr">
        <is>
          <t>2026-09-14</t>
        </is>
      </c>
      <c r="B274" t="inlineStr">
        <is>
          <t>FinTech</t>
        </is>
      </c>
      <c r="C274" t="inlineStr">
        <is>
          <t>Technology &amp; AI</t>
        </is>
      </c>
      <c r="D274" t="inlineStr">
        <is>
          <t>Global</t>
        </is>
      </c>
      <c r="E274" t="inlineStr">
        <is>
          <t>Device-intelligence fraud platform Fingerprint surpasses $50 million in ARR</t>
        </is>
      </c>
      <c r="F274" t="inlineStr">
        <is>
          <t>Fingerprint said it passed $50 million in annual recurring revenue on September 1, identifying more than a billion unique devices monthly for over 6,000 organizations combating AI-driven fraud.</t>
        </is>
      </c>
      <c r="G274" t="inlineStr">
        <is>
          <t>FinTech Global</t>
        </is>
      </c>
      <c r="H274" t="inlineStr">
        <is>
          <t>https://fintech.global/2026/09/01/fingerprint-surpasses-50m-arr-milestone/</t>
        </is>
      </c>
      <c r="I274" t="inlineStr">
        <is>
          <t>2026-09-01</t>
        </is>
      </c>
    </row>
    <row r="275">
      <c r="A275" t="inlineStr">
        <is>
          <t>2026-09-14</t>
        </is>
      </c>
      <c r="B275" t="inlineStr">
        <is>
          <t>FinTech</t>
        </is>
      </c>
      <c r="C275" t="inlineStr">
        <is>
          <t>Technology &amp; AI</t>
        </is>
      </c>
      <c r="D275" t="inlineStr">
        <is>
          <t>United States</t>
        </is>
      </c>
      <c r="E275" t="inlineStr">
        <is>
          <t>FinovateFall 2026 draws top US banks as embedded finance dominates agenda</t>
        </is>
      </c>
      <c r="F275" t="inlineStr">
        <is>
          <t>FinovateFall 2026 in New York confirmed attendance from major US banks including JPMorgan Chase and Bank of America, reflecting continued convergence between traditional banks and fintech platforms.</t>
        </is>
      </c>
      <c r="G275" t="inlineStr">
        <is>
          <t>FF News</t>
        </is>
      </c>
      <c r="H275" t="inlineStr">
        <is>
          <t>https://ffnews.com/news/finovatefall-2026-confirms-top-us-banks-are-attending</t>
        </is>
      </c>
      <c r="I275" t="inlineStr">
        <is>
          <t>2026-09-01</t>
        </is>
      </c>
    </row>
    <row r="276">
      <c r="A276" t="inlineStr">
        <is>
          <t>2026-09-14</t>
        </is>
      </c>
      <c r="B276" t="inlineStr">
        <is>
          <t>FinTech</t>
        </is>
      </c>
      <c r="C276" t="inlineStr">
        <is>
          <t>People &amp; Leadership</t>
        </is>
      </c>
      <c r="D276" t="inlineStr">
        <is>
          <t>United States</t>
        </is>
      </c>
      <c r="E276" t="inlineStr">
        <is>
          <t>MediaAlpha CFO Pat Thompson to step down, SVP of Finance to succeed him</t>
        </is>
      </c>
      <c r="F276" t="inlineStr">
        <is>
          <t>Insurance marketing platform MediaAlpha announced CFO Pat Thompson will step down effective October 1, 2026, with SVP of Finance Tigran Sinanyan succeeding him as chief financial officer.</t>
        </is>
      </c>
      <c r="G276" t="inlineStr">
        <is>
          <t>MediaAlpha, Inc. (SEC Filing)</t>
        </is>
      </c>
      <c r="H276" t="inlineStr">
        <is>
          <t>https://www.sec.gov/Archives/edgar/data/0001818383/000181838326000229/exhibit991pressrelease.htm</t>
        </is>
      </c>
      <c r="I276" t="inlineStr">
        <is>
          <t>2026-09-01</t>
        </is>
      </c>
    </row>
    <row r="277">
      <c r="A277" t="inlineStr">
        <is>
          <t>2026-09-14</t>
        </is>
      </c>
      <c r="B277" t="inlineStr">
        <is>
          <t>BrokerTech</t>
        </is>
      </c>
      <c r="C277" t="inlineStr">
        <is>
          <t>Technology &amp; AI</t>
        </is>
      </c>
      <c r="D277" t="inlineStr">
        <is>
          <t>United States</t>
        </is>
      </c>
      <c r="E277" t="inlineStr">
        <is>
          <t>September ITL Focus spotlights the technology reshaping agents and brokers</t>
        </is>
      </c>
      <c r="F277" t="inlineStr">
        <is>
          <t>Insurance Thought Leadership's September 2026 agents-and-brokers focus examines how distribution technology, data and AI tools are reshaping the intermediary role across the value chain.</t>
        </is>
      </c>
      <c r="G277" t="inlineStr">
        <is>
          <t>Insurance Thought Leadership</t>
        </is>
      </c>
      <c r="H277" t="inlineStr">
        <is>
          <t>https://www.insurancethoughtleadership.com/agent-broker/september-2026-itl-focus-agents-brokers</t>
        </is>
      </c>
      <c r="I277" t="inlineStr">
        <is>
          <t>2026-09-01</t>
        </is>
      </c>
    </row>
    <row r="278">
      <c r="A278" t="inlineStr">
        <is>
          <t>2026-09-14</t>
        </is>
      </c>
      <c r="B278" t="inlineStr">
        <is>
          <t>Healthcare / Provider &amp; Clinical</t>
        </is>
      </c>
      <c r="C278" t="inlineStr">
        <is>
          <t>M&amp;A</t>
        </is>
      </c>
      <c r="D278" t="inlineStr">
        <is>
          <t>United States</t>
        </is>
      </c>
      <c r="E278" t="inlineStr">
        <is>
          <t>Sanford Health and North Memorial Health finalize Twin Cities merger</t>
        </is>
      </c>
      <c r="F278" t="inlineStr">
        <is>
          <t>Sanford Health completed its combination with North Memorial Health on September 1, creating a nonprofit system with 61,000 employees serving about 2.5 million patients across the Upper Midwest.</t>
        </is>
      </c>
      <c r="G278" t="inlineStr">
        <is>
          <t>MedCity News</t>
        </is>
      </c>
      <c r="H278" t="inlineStr">
        <is>
          <t>https://medcitynews.com/2026/09/hospital-mergers-summer-2026/</t>
        </is>
      </c>
      <c r="I278" t="inlineStr">
        <is>
          <t>2026-09-01</t>
        </is>
      </c>
    </row>
    <row r="279">
      <c r="A279" t="inlineStr">
        <is>
          <t>2026-09-14</t>
        </is>
      </c>
      <c r="B279" t="inlineStr">
        <is>
          <t>FinTech</t>
        </is>
      </c>
      <c r="C279" t="inlineStr">
        <is>
          <t>Regulatory &amp; Policy</t>
        </is>
      </c>
      <c r="D279" t="inlineStr">
        <is>
          <t>United States</t>
        </is>
      </c>
      <c r="E279" t="inlineStr">
        <is>
          <t>Revolut clears first US hurdle with conditional national bank charter approval</t>
        </is>
      </c>
      <c r="F279" t="inlineStr">
        <is>
          <t>The OCC granted Revolut conditional preliminary approval to form a US national bank, though the fintech still needs FDIC deposit insurance and Federal Reserve sign-off before it can open, with a launch targeted for early 2027.</t>
        </is>
      </c>
      <c r="G279" t="inlineStr">
        <is>
          <t>Crowdfund Insider</t>
        </is>
      </c>
      <c r="H279" t="inlineStr">
        <is>
          <t>https://www.crowdfundinsider.com/2026/09/305896-revolut-obtains-conditional-occ-approval-for-us-national-bank-charter/</t>
        </is>
      </c>
      <c r="I279" t="inlineStr">
        <is>
          <t>2026-09-03</t>
        </is>
      </c>
    </row>
    <row r="280">
      <c r="A280" t="inlineStr">
        <is>
          <t>2026-09-14</t>
        </is>
      </c>
      <c r="B280" t="inlineStr">
        <is>
          <t>Property &amp; Casualty</t>
        </is>
      </c>
      <c r="C280" t="inlineStr">
        <is>
          <t>Market Economics</t>
        </is>
      </c>
      <c r="D280" t="inlineStr">
        <is>
          <t>APAC</t>
        </is>
      </c>
      <c r="E280" t="inlineStr">
        <is>
          <t>APAC reinsurance renewal talks shift focus from price to capital and volatility</t>
        </is>
      </c>
      <c r="F280" t="inlineStr">
        <is>
          <t>Reinsurance renewal discussions across Asia-Pacific are pivoting away from pure rate negotiations toward capital management and volatility concerns as the region's protection gap narrows amid resilient growth.</t>
        </is>
      </c>
      <c r="G280" t="inlineStr">
        <is>
          <t>The Insurer</t>
        </is>
      </c>
      <c r="H280" t="inlineStr">
        <is>
          <t>https://theinsurer.com/ti/reinsurancemonth/apac-renewal-talks-pivot-from-price-to-focus-on-capital-and-volatility-2026-09-09</t>
        </is>
      </c>
      <c r="I280" t="inlineStr">
        <is>
          <t>2026-09-09</t>
        </is>
      </c>
    </row>
    <row r="281">
      <c r="A281" t="inlineStr">
        <is>
          <t>2026-09-14</t>
        </is>
      </c>
      <c r="B281" t="inlineStr">
        <is>
          <t>BrokerTech</t>
        </is>
      </c>
      <c r="C281" t="inlineStr">
        <is>
          <t>Technology &amp; AI</t>
        </is>
      </c>
      <c r="D281" t="inlineStr">
        <is>
          <t>United States</t>
        </is>
      </c>
      <c r="E281" t="inlineStr">
        <is>
          <t>Nearly two-thirds of independent agents now use AI on the job, industry data shows</t>
        </is>
      </c>
      <c r="F281" t="inlineStr">
        <is>
          <t>New industry commentary finds almost two in three independent insurance agents used AI tools at least occasionally over the past year, with reconciliation and workflow automation among the biggest productivity gains.</t>
        </is>
      </c>
      <c r="G281" t="inlineStr">
        <is>
          <t>Insurance Journal / Vertafore</t>
        </is>
      </c>
      <c r="H281" t="inlineStr">
        <is>
          <t>https://www.insurancejournal.com/blogs/vertafore/2026/09/09/884073.htm</t>
        </is>
      </c>
      <c r="I281" t="inlineStr">
        <is>
          <t>2026-09-09</t>
        </is>
      </c>
    </row>
    <row r="282">
      <c r="A282" t="inlineStr">
        <is>
          <t>2026-09-14</t>
        </is>
      </c>
      <c r="B282" t="inlineStr">
        <is>
          <t>Wealth Management</t>
        </is>
      </c>
      <c r="C282" t="inlineStr">
        <is>
          <t>Investments &amp; Funding</t>
        </is>
      </c>
      <c r="D282" t="inlineStr">
        <is>
          <t>United States</t>
        </is>
      </c>
      <c r="E282" t="inlineStr">
        <is>
          <t>Savvy Wealth raises $100 million Series C as AI-native RIAs keep attracting capital</t>
        </is>
      </c>
      <c r="F282" t="inlineStr">
        <is>
          <t>A weekly wealthtech roundup covers Savvy Wealth's $100 million Series C at a $600 million valuation and Luminary's $22 million raise to build an AI-driven wealth-transfer planning platform.</t>
        </is>
      </c>
      <c r="G282" t="inlineStr">
        <is>
          <t>WealthTech Strategy</t>
        </is>
      </c>
      <c r="H282" t="inlineStr">
        <is>
          <t>https://www.wealthtechstrategy.com/post/wealthtech-safari-week-of-september-11-2026</t>
        </is>
      </c>
      <c r="I282" t="inlineStr">
        <is>
          <t>2026-09-11</t>
        </is>
      </c>
    </row>
    <row r="283">
      <c r="A283" t="inlineStr">
        <is>
          <t>2026-09-14</t>
        </is>
      </c>
      <c r="B283" t="inlineStr">
        <is>
          <t>Investments</t>
        </is>
      </c>
      <c r="C283" t="inlineStr">
        <is>
          <t>Market Economics</t>
        </is>
      </c>
      <c r="D283" t="inlineStr">
        <is>
          <t>United States</t>
        </is>
      </c>
      <c r="E283" t="inlineStr">
        <is>
          <t>Higher-for-longer rates keep boosting insurer investment income, analysts say</t>
        </is>
      </c>
      <c r="F283" t="inlineStr">
        <is>
          <t>A markets analysis argues that persistently higher interest rates continue to lift net investment income at several publicly traded insurers, supporting dividend-paying carrier stocks.</t>
        </is>
      </c>
      <c r="G283" t="inlineStr">
        <is>
          <t>24/7 Wall St.</t>
        </is>
      </c>
      <c r="H283" t="inlineStr">
        <is>
          <t>https://247wallst.com/investing/2026/09/13/higher-rates-are-a-gift-to-these-3-insurance-dividend-stocks/</t>
        </is>
      </c>
      <c r="I283" t="inlineStr">
        <is>
          <t>2026-09-13</t>
        </is>
      </c>
    </row>
    <row r="284">
      <c r="A284" t="inlineStr">
        <is>
          <t>2026-09-14</t>
        </is>
      </c>
      <c r="B284" t="inlineStr">
        <is>
          <t>Property &amp; Casualty</t>
        </is>
      </c>
      <c r="C284" t="inlineStr">
        <is>
          <t>Investments &amp; Funding</t>
        </is>
      </c>
      <c r="D284" t="inlineStr">
        <is>
          <t>Global</t>
        </is>
      </c>
      <c r="E284" t="inlineStr">
        <is>
          <t>Catastrophe bond and reinsurance capital markets stay active into mid-September</t>
        </is>
      </c>
      <c r="F284" t="inlineStr">
        <is>
          <t>The weekly Artemis roundup for the week ending September 13 tracks continued strong catastrophe bond issuance and reinsurance-linked capital markets activity following a record first half of 2026.</t>
        </is>
      </c>
      <c r="G284" t="inlineStr">
        <is>
          <t>Artemis.bm</t>
        </is>
      </c>
      <c r="H284" t="inlineStr">
        <is>
          <t>https://www.artemis.bm/news/best-of-artemis-week-ending-september-13th-2026/</t>
        </is>
      </c>
      <c r="I284" t="inlineStr">
        <is>
          <t>2026-09-13</t>
        </is>
      </c>
    </row>
    <row r="285">
      <c r="A285" t="inlineStr">
        <is>
          <t>2026-09-14</t>
        </is>
      </c>
      <c r="B285" t="inlineStr">
        <is>
          <t>Health Insurance / Payer</t>
        </is>
      </c>
      <c r="C285" t="inlineStr">
        <is>
          <t>Market Economics</t>
        </is>
      </c>
      <c r="D285" t="inlineStr">
        <is>
          <t>United States</t>
        </is>
      </c>
      <c r="E285" t="inlineStr">
        <is>
          <t>Health insurer earnings rebound gains momentum as medical costs stabilize</t>
        </is>
      </c>
      <c r="F285" t="inlineStr">
        <is>
          <t>Analysts point to improving medical-cost trends, with the industry's Q2 2026 medical care ratio falling to 86.7% from 89.4% a year earlier, as evidence that the health-insurer earnings rebound is taking hold ahead of Q3 results.</t>
        </is>
      </c>
      <c r="G285" t="inlineStr">
        <is>
          <t>Forbes</t>
        </is>
      </c>
      <c r="H285" t="inlineStr">
        <is>
          <t>https://www.forbes.com/sites/brucejapsen/2026/09/13/is-the-health-insurer-rebound-complete-some-seem-to-think-so/</t>
        </is>
      </c>
      <c r="I285" t="inlineStr">
        <is>
          <t>2026-09-13</t>
        </is>
      </c>
    </row>
    <row r="286">
      <c r="A286" t="inlineStr">
        <is>
          <t>2026-09-14</t>
        </is>
      </c>
      <c r="B286" t="inlineStr">
        <is>
          <t>Investments</t>
        </is>
      </c>
      <c r="C286" t="inlineStr">
        <is>
          <t>Market Economics</t>
        </is>
      </c>
      <c r="D286" t="inlineStr">
        <is>
          <t>UK/Europe</t>
        </is>
      </c>
      <c r="E286" t="inlineStr">
        <is>
          <t>Groupama posts EUR560 million net income as asset management arm grows AUM to EUR111.3 billion</t>
        </is>
      </c>
      <c r="F286" t="inlineStr">
        <is>
          <t>Groupama's first-half 2026 results show EUR560 million in net income, with Groupama Asset Management's assets under management climbing EUR3.7 billion to EUR111.3 billion as of June 30.</t>
        </is>
      </c>
      <c r="G286" t="inlineStr">
        <is>
          <t>GlobeNewswire</t>
        </is>
      </c>
      <c r="H286" t="inlineStr">
        <is>
          <t>https://www.globenewswire.com/news-release/2026/09/14/3360733/0/en/groupama-group-2026-half-year-results.html</t>
        </is>
      </c>
      <c r="I286" t="inlineStr">
        <is>
          <t>2026-09-14</t>
        </is>
      </c>
    </row>
    <row r="287">
      <c r="A287" t="inlineStr">
        <is>
          <t>2026-09-15</t>
        </is>
      </c>
      <c r="B287" t="inlineStr">
        <is>
          <t>TPA</t>
        </is>
      </c>
      <c r="C287" t="inlineStr">
        <is>
          <t>M&amp;A</t>
        </is>
      </c>
      <c r="D287" t="inlineStr">
        <is>
          <t>United States</t>
        </is>
      </c>
      <c r="E287" t="inlineStr">
        <is>
          <t>Old Republic spins up Lodestar Claims &amp; Risk Services as standalone TPA brand</t>
        </is>
      </c>
      <c r="F287" t="inlineStr">
        <is>
          <t>Old Republic International launched Lodestar Claims &amp; Risk Services as an independent operating company and brand within the group, its first such standalone TPA launch in more than 30 years.</t>
        </is>
      </c>
      <c r="G287" t="inlineStr">
        <is>
          <t>Business Insurance</t>
        </is>
      </c>
      <c r="H287" t="inlineStr">
        <is>
          <t>https://www.businessinsurance.com/researchandreports/directories/third-party-administrators/</t>
        </is>
      </c>
      <c r="I287" t="inlineStr">
        <is>
          <t>2026-04-01</t>
        </is>
      </c>
    </row>
    <row r="288">
      <c r="A288" t="inlineStr">
        <is>
          <t>2026-09-15</t>
        </is>
      </c>
      <c r="B288" t="inlineStr">
        <is>
          <t>Life &amp; Annuities</t>
        </is>
      </c>
      <c r="C288" t="inlineStr">
        <is>
          <t>M&amp;A</t>
        </is>
      </c>
      <c r="D288" t="inlineStr">
        <is>
          <t>United States</t>
        </is>
      </c>
      <c r="E288" t="inlineStr">
        <is>
          <t>Malibu Life USA completes acquisition of TruSpire, launching its U.S. retail annuity business</t>
        </is>
      </c>
      <c r="F288" t="inlineStr">
        <is>
          <t>Malibu Life Holdings closed its purchase of TruSpire Retirement Insurance Company, rebranding it as Malibu Life USA and establishing the unit as the company's origination engine for U.S. retail fixed indexed annuities.</t>
        </is>
      </c>
      <c r="G288" t="inlineStr">
        <is>
          <t>Business Wire</t>
        </is>
      </c>
      <c r="H288" t="inlineStr">
        <is>
          <t>https://www.businesswire.com/news/home/20260702732241/en/Malibu-Life-Holdings-Completes-Acquisition-of-TruSpire-Establishing-Malibu-USA-and-Accelerating-Entry-into-the-U.S.-Retail-Annuity-Market</t>
        </is>
      </c>
      <c r="I288" t="inlineStr">
        <is>
          <t>2026-07-02</t>
        </is>
      </c>
    </row>
    <row r="289">
      <c r="A289" t="inlineStr">
        <is>
          <t>2026-09-15</t>
        </is>
      </c>
      <c r="B289" t="inlineStr">
        <is>
          <t>Retirement</t>
        </is>
      </c>
      <c r="C289" t="inlineStr">
        <is>
          <t>Regulatory &amp; Policy</t>
        </is>
      </c>
      <c r="D289" t="inlineStr">
        <is>
          <t>United States</t>
        </is>
      </c>
      <c r="E289" t="inlineStr">
        <is>
          <t>DOL grants temporary relief as plan sponsors scramble to comply with new paper statement rule</t>
        </is>
      </c>
      <c r="F289" t="inlineStr">
        <is>
          <t>The Department of Labor issued Field Assistance Bulletin 2026-02 giving retirement plan administrators temporary enforcement relief while they build compliance processes for the revived requirement to mail at least one paper benefit statement per year.</t>
        </is>
      </c>
      <c r="G289" t="inlineStr">
        <is>
          <t>NAPA Net</t>
        </is>
      </c>
      <c r="H289" t="inlineStr">
        <is>
          <t>https://www.napa-net.org/news/2026/7/paper-statements-are-back-sort-of-what-plan-sponsors-need-to-know/</t>
        </is>
      </c>
      <c r="I289" t="inlineStr">
        <is>
          <t>2026-07-15</t>
        </is>
      </c>
    </row>
    <row r="290">
      <c r="A290" t="inlineStr">
        <is>
          <t>2026-09-15</t>
        </is>
      </c>
      <c r="B290" t="inlineStr">
        <is>
          <t>Brokers &amp; MGA/GA</t>
        </is>
      </c>
      <c r="C290" t="inlineStr">
        <is>
          <t>M&amp;A</t>
        </is>
      </c>
      <c r="D290" t="inlineStr">
        <is>
          <t>APAC</t>
        </is>
      </c>
      <c r="E290" t="inlineStr">
        <is>
          <t>KKR joins Amwins-led consortium in A$7.7 billion approach for Australian broker Steadfast</t>
        </is>
      </c>
      <c r="F290" t="inlineStr">
        <is>
          <t>Global investment firm KKR joined Amwins Group and Dragoneer Investment in a consortium proposal to acquire Australian insurance broker network Steadfast for roughly A$7.7 billion (US$5.33 billion).</t>
        </is>
      </c>
      <c r="G290" t="inlineStr">
        <is>
          <t>Insurance Journal</t>
        </is>
      </c>
      <c r="H290" t="inlineStr">
        <is>
          <t>https://www.insurancejournal.com/news/national/2026/04/27/867278.htm</t>
        </is>
      </c>
      <c r="I290" t="inlineStr">
        <is>
          <t>2026-07-15</t>
        </is>
      </c>
    </row>
    <row r="291">
      <c r="A291" t="inlineStr">
        <is>
          <t>2026-09-15</t>
        </is>
      </c>
      <c r="B291" t="inlineStr">
        <is>
          <t>FinTech</t>
        </is>
      </c>
      <c r="C291" t="inlineStr">
        <is>
          <t>Technology &amp; AI</t>
        </is>
      </c>
      <c r="D291" t="inlineStr">
        <is>
          <t>United States</t>
        </is>
      </c>
      <c r="E291" t="inlineStr">
        <is>
          <t>Producerflow launches distribution management platform for carriers, MGAs and agencies</t>
        </is>
      </c>
      <c r="F291" t="inlineStr">
        <is>
          <t>New insurtech entrant Producerflow debuted a platform designed to help carriers, MGAs and agencies manage the full producer lifecycle, from onboarding through licensing and compliance tracking.</t>
        </is>
      </c>
      <c r="G291" t="inlineStr">
        <is>
          <t>FinTech Global</t>
        </is>
      </c>
      <c r="H291" t="inlineStr">
        <is>
          <t>https://fintech.global/category/sector-updates/insurtech-news/</t>
        </is>
      </c>
      <c r="I291" t="inlineStr">
        <is>
          <t>2026-09-03</t>
        </is>
      </c>
    </row>
    <row r="292">
      <c r="A292" t="inlineStr">
        <is>
          <t>2026-09-15</t>
        </is>
      </c>
      <c r="B292" t="inlineStr">
        <is>
          <t>Wealth Management</t>
        </is>
      </c>
      <c r="C292" t="inlineStr">
        <is>
          <t>M&amp;A</t>
        </is>
      </c>
      <c r="D292" t="inlineStr">
        <is>
          <t>United States</t>
        </is>
      </c>
      <c r="E292" t="inlineStr">
        <is>
          <t>Schwab courts Altruist advisors as rival custodian digests Vanguard's $4.6 billion acquisition</t>
        </is>
      </c>
      <c r="F292" t="inlineStr">
        <is>
          <t>Charles Schwab is actively pitching advisors on Altruist's custodial platform following Vanguard's $4.6 billion acquisition of Altruist, as custodians jockey for share among independent RIAs.</t>
        </is>
      </c>
      <c r="G292" t="inlineStr">
        <is>
          <t>Mercer Capital</t>
        </is>
      </c>
      <c r="H292" t="inlineStr">
        <is>
          <t>https://mercercapital.com/insights/blogs/ria-valuation-insights-blog/2026/the-state-of-wealth-management-entering-2026/</t>
        </is>
      </c>
      <c r="I292" t="inlineStr">
        <is>
          <t>2026-09-05</t>
        </is>
      </c>
    </row>
    <row r="293">
      <c r="A293" t="inlineStr">
        <is>
          <t>2026-09-15</t>
        </is>
      </c>
      <c r="B293" t="inlineStr">
        <is>
          <t>BrokerTech</t>
        </is>
      </c>
      <c r="C293" t="inlineStr">
        <is>
          <t>Technology &amp; AI</t>
        </is>
      </c>
      <c r="D293" t="inlineStr">
        <is>
          <t>United States</t>
        </is>
      </c>
      <c r="E293" t="inlineStr">
        <is>
          <t>Acrisure unveils Palantir-powered AI platform for insurance brokerage operations</t>
        </is>
      </c>
      <c r="F293" t="inlineStr">
        <is>
          <t>Broker and fintech group Acrisure introduced a new AI operations platform built on Palantir's technology, aimed at streamlining underwriting workflows and data integration across its brokerage business.</t>
        </is>
      </c>
      <c r="G293" t="inlineStr">
        <is>
          <t>Insurance Journal / Europe coverage</t>
        </is>
      </c>
      <c r="H293" t="inlineStr">
        <is>
          <t>https://www.insuranceday.com/regions/europe</t>
        </is>
      </c>
      <c r="I293" t="inlineStr">
        <is>
          <t>2026-09-05</t>
        </is>
      </c>
    </row>
    <row r="294">
      <c r="A294" t="inlineStr">
        <is>
          <t>2026-09-15</t>
        </is>
      </c>
      <c r="B294" t="inlineStr">
        <is>
          <t>Wealth Management</t>
        </is>
      </c>
      <c r="C294" t="inlineStr">
        <is>
          <t>Investments &amp; Funding</t>
        </is>
      </c>
      <c r="D294" t="inlineStr">
        <is>
          <t>United States</t>
        </is>
      </c>
      <c r="E294" t="inlineStr">
        <is>
          <t>Savvy Wealth closes $100 million Series C, pushing valuation to $600 million</t>
        </is>
      </c>
      <c r="F294" t="inlineStr">
        <is>
          <t>The AI-native RIA platform for independent financial advisors raised a $100 million Series C round, more than doubling its valuation as investors bet on tech-forward advisor recruitment models.</t>
        </is>
      </c>
      <c r="G294" t="inlineStr">
        <is>
          <t>This Week in Fintech</t>
        </is>
      </c>
      <c r="H294" t="inlineStr">
        <is>
          <t>https://www.thisweekinfintech.com/p/wealthtech-draws-720m-across-two-major-deals-fundraises</t>
        </is>
      </c>
      <c r="I294" t="inlineStr">
        <is>
          <t>2026-09-09</t>
        </is>
      </c>
    </row>
    <row r="295">
      <c r="A295" t="inlineStr">
        <is>
          <t>2026-09-15</t>
        </is>
      </c>
      <c r="B295" t="inlineStr">
        <is>
          <t>Health Insurance / Payer</t>
        </is>
      </c>
      <c r="C295" t="inlineStr">
        <is>
          <t>Regulatory &amp; Policy</t>
        </is>
      </c>
      <c r="D295" t="inlineStr">
        <is>
          <t>United States</t>
        </is>
      </c>
      <c r="E295" t="inlineStr">
        <is>
          <t>White House to issue $500 refunds to nearly a million ACA exchange enrollees</t>
        </is>
      </c>
      <c r="F295" t="inlineStr">
        <is>
          <t>The administration announced $500 rebates for close to a million people enrolled in the federal ACA exchanges, tied to user-fee overcharges collected during the prior administration to fund exchange operations.</t>
        </is>
      </c>
      <c r="G295" t="inlineStr">
        <is>
          <t>The Healthcare Labyrinth</t>
        </is>
      </c>
      <c r="H295" t="inlineStr">
        <is>
          <t>https://www.healthcarelabyrinth.com/september-10-2026/</t>
        </is>
      </c>
      <c r="I295" t="inlineStr">
        <is>
          <t>2026-09-10</t>
        </is>
      </c>
    </row>
    <row r="296">
      <c r="A296" t="inlineStr">
        <is>
          <t>2026-09-15</t>
        </is>
      </c>
      <c r="B296" t="inlineStr">
        <is>
          <t>Insurtech</t>
        </is>
      </c>
      <c r="C296" t="inlineStr">
        <is>
          <t>Investments &amp; Funding</t>
        </is>
      </c>
      <c r="D296" t="inlineStr">
        <is>
          <t>Global</t>
        </is>
      </c>
      <c r="E296" t="inlineStr">
        <is>
          <t>Abu Dhabi's Synapse Analytics raises $13 million Series A for agentic AI decisioning infrastructure</t>
        </is>
      </c>
      <c r="F296" t="inlineStr">
        <is>
          <t>Synapse Analytics, which builds agentic decisioning infrastructure for regulated financial institutions including insurers, raised a $13 million Series A round as the UK's InsurTech Corridor plans a fresh push into the US insurance market.</t>
        </is>
      </c>
      <c r="G296" t="inlineStr">
        <is>
          <t>FinTech Global</t>
        </is>
      </c>
      <c r="H296" t="inlineStr">
        <is>
          <t>https://fintech.global/2026/09/14/insurtech-corridor-plots-uk-tour-to-boost-us-access/</t>
        </is>
      </c>
      <c r="I296" t="inlineStr">
        <is>
          <t>2026-09-14</t>
        </is>
      </c>
    </row>
    <row r="297">
      <c r="A297" t="inlineStr">
        <is>
          <t>2026-09-15</t>
        </is>
      </c>
      <c r="B297" t="inlineStr">
        <is>
          <t>Life &amp; Annuities</t>
        </is>
      </c>
      <c r="C297" t="inlineStr">
        <is>
          <t>Regulatory &amp; Policy</t>
        </is>
      </c>
      <c r="D297" t="inlineStr">
        <is>
          <t>India</t>
        </is>
      </c>
      <c r="E297" t="inlineStr">
        <is>
          <t>India exempts individual life and health insurance premiums from GST, effective September 22</t>
        </is>
      </c>
      <c r="F297" t="inlineStr">
        <is>
          <t>Finance Minister Nirmala Sitharaman's GST overhaul removes the tax on individual life and health insurance premiums starting September 22, a move expected to lower policy costs and support demand for private insurers.</t>
        </is>
      </c>
      <c r="G297" t="inlineStr">
        <is>
          <t>Business Standard</t>
        </is>
      </c>
      <c r="H297" t="inlineStr">
        <is>
          <t>https://businessnewsthisweek.com/business/indias-insurance-revolution-from-policy-papers-to-digital-protection/</t>
        </is>
      </c>
      <c r="I297" t="inlineStr">
        <is>
          <t>2026-09-15</t>
        </is>
      </c>
    </row>
    <row r="298">
      <c r="A298" t="inlineStr">
        <is>
          <t>2026-09-16</t>
        </is>
      </c>
      <c r="B298" t="inlineStr">
        <is>
          <t>Wealth Management</t>
        </is>
      </c>
      <c r="C298" t="inlineStr">
        <is>
          <t>Technology &amp; AI</t>
        </is>
      </c>
      <c r="D298" t="inlineStr">
        <is>
          <t>United States</t>
        </is>
      </c>
      <c r="E298" t="inlineStr">
        <is>
          <t>Weekly advisor-tech roundup tracks new AI planning and portfolio tools</t>
        </is>
      </c>
      <c r="F298" t="inlineStr">
        <is>
          <t>A weekly wealthtech briefing covers new AI-enabled financial-planning and portfolio-construction tools advisors are piloting this fall, alongside continued custodian and RIA consolidation activity.</t>
        </is>
      </c>
      <c r="G298" t="inlineStr">
        <is>
          <t>Dwealth.news</t>
        </is>
      </c>
      <c r="H298" t="inlineStr">
        <is>
          <t>https://dwealth.news/2026/09/advisor-tech-talk-week-of-9-7-26/</t>
        </is>
      </c>
      <c r="I298" t="inlineStr">
        <is>
          <t>2026-09-07</t>
        </is>
      </c>
    </row>
    <row r="299">
      <c r="A299" t="inlineStr">
        <is>
          <t>2026-09-16</t>
        </is>
      </c>
      <c r="B299" t="inlineStr">
        <is>
          <t>Retirement</t>
        </is>
      </c>
      <c r="C299" t="inlineStr">
        <is>
          <t>M&amp;A</t>
        </is>
      </c>
      <c r="D299" t="inlineStr">
        <is>
          <t>UK/Europe</t>
        </is>
      </c>
      <c r="E299" t="inlineStr">
        <is>
          <t>Standard Life agrees to buy Aegon UK for £2bn, creating UK's largest retirement business</t>
        </is>
      </c>
      <c r="F299" t="inlineStr">
        <is>
          <t>Standard Life will acquire Aegon UK in a deal combining roughly £480bn in assets and serving 16 million customers, with Aegon taking a 15.3% stake in the enlarged group as a strategic shareholder; the deal is expected to close around year-end 2026.</t>
        </is>
      </c>
      <c r="G299" t="inlineStr">
        <is>
          <t>Aegon</t>
        </is>
      </c>
      <c r="H299" t="inlineStr">
        <is>
          <t>https://www.aegon.com/newsroom/news/press-releases/2026/aegon-to-sell-aegon-uk-to-standard-life</t>
        </is>
      </c>
      <c r="I299" t="inlineStr">
        <is>
          <t>2026-09</t>
        </is>
      </c>
    </row>
    <row r="300">
      <c r="A300" t="inlineStr">
        <is>
          <t>2026-09-16</t>
        </is>
      </c>
      <c r="B300" t="inlineStr">
        <is>
          <t>BrokerTech</t>
        </is>
      </c>
      <c r="C300" t="inlineStr">
        <is>
          <t>Market Economics</t>
        </is>
      </c>
      <c r="D300" t="inlineStr">
        <is>
          <t>United States</t>
        </is>
      </c>
      <c r="E300" t="inlineStr">
        <is>
          <t>BrokerTech Ventures holds second annual BrokerTech Connect conference in Chicago</t>
        </is>
      </c>
      <c r="F300" t="inlineStr">
        <is>
          <t>BrokerTech Ventures brought together brokerage, carrier, wholesaler and startup leaders for its BrokerTech Connect event September 1-2 in Chicago, spotlighting its 2026 accelerator cohort and broker-led innovation model.</t>
        </is>
      </c>
      <c r="G300" t="inlineStr">
        <is>
          <t>BrokerTech Ventures</t>
        </is>
      </c>
      <c r="H300" t="inlineStr">
        <is>
          <t>https://www.brokertechventures.com/post/brokertech-ventures-announces-brokertech-connect-chicago-2026-bringing-together-insurance-and-insurtech-leaders</t>
        </is>
      </c>
      <c r="I300" t="inlineStr">
        <is>
          <t>2026-09-01</t>
        </is>
      </c>
    </row>
    <row r="301">
      <c r="A301" t="inlineStr">
        <is>
          <t>2026-09-16</t>
        </is>
      </c>
      <c r="B301" t="inlineStr">
        <is>
          <t>Insurtech</t>
        </is>
      </c>
      <c r="C301" t="inlineStr">
        <is>
          <t>Investments &amp; Funding</t>
        </is>
      </c>
      <c r="D301" t="inlineStr">
        <is>
          <t>India</t>
        </is>
      </c>
      <c r="E301" t="inlineStr">
        <is>
          <t>Ahmedabad insurtech InRisk Labs raises $27 million Series A</t>
        </is>
      </c>
      <c r="F301" t="inlineStr">
        <is>
          <t>The India-based commercial-insurance underwriting startup raised a Series A co-led by Bessemer Venture Partners and Northpoint Capital to expand its risk-assessment platform.</t>
        </is>
      </c>
      <c r="G301" t="inlineStr">
        <is>
          <t>Indian Startup News</t>
        </is>
      </c>
      <c r="H301" t="inlineStr">
        <is>
          <t>https://indianstartupnews.com/funding/ahmedabad-based-insurtech-startup-inrisk-labs-raises-27-million-from-bessemer-northpoint-capital-12242611</t>
        </is>
      </c>
      <c r="I301" t="inlineStr">
        <is>
          <t>2026-08-08</t>
        </is>
      </c>
    </row>
    <row r="302">
      <c r="A302" t="inlineStr">
        <is>
          <t>2026-09-16</t>
        </is>
      </c>
      <c r="B302" t="inlineStr">
        <is>
          <t>Healthcare / Provider &amp; Clinical</t>
        </is>
      </c>
      <c r="C302" t="inlineStr">
        <is>
          <t>Technology &amp; AI</t>
        </is>
      </c>
      <c r="D302" t="inlineStr">
        <is>
          <t>Global</t>
        </is>
      </c>
      <c r="E302" t="inlineStr">
        <is>
          <t>Study finds consistency checks help clinicians trust AI diagnostic suggestions</t>
        </is>
      </c>
      <c r="F302" t="inlineStr">
        <is>
          <t>New research finds that flagging when an AI model gives stable, repeatable answers across similar cases helps clinicians calibrate how much to trust its diagnostic suggestions, addressing a key barrier to clinical AI adoption.</t>
        </is>
      </c>
      <c r="G302" t="inlineStr">
        <is>
          <t>Medical Xpress</t>
        </is>
      </c>
      <c r="H302" t="inlineStr">
        <is>
          <t>https://medicalxpress.com/news/2026-09-stable-medical-ai-flag-clinicians.html</t>
        </is>
      </c>
      <c r="I302" t="inlineStr">
        <is>
          <t>2026-09</t>
        </is>
      </c>
    </row>
    <row r="303">
      <c r="A303" t="inlineStr">
        <is>
          <t>2026-09-16</t>
        </is>
      </c>
      <c r="B303" t="inlineStr">
        <is>
          <t>Property &amp; Casualty</t>
        </is>
      </c>
      <c r="C303" t="inlineStr">
        <is>
          <t>M&amp;A</t>
        </is>
      </c>
      <c r="D303" t="inlineStr">
        <is>
          <t>UK/Europe</t>
        </is>
      </c>
      <c r="E303" t="inlineStr">
        <is>
          <t>Zurich's £8.1bn Beazley takeover clears final regulatory hurdle, set to close October 1</t>
        </is>
      </c>
      <c r="F303" t="inlineStr">
        <is>
          <t>Zurich Insurance's all-cash acquisition of Lloyd's specialty insurer Beazley has secured all required regulatory approvals, with a court hearing set for September 22 and completion targeted for October 1, 2026.</t>
        </is>
      </c>
      <c r="G303" t="inlineStr">
        <is>
          <t>Reinsurance News</t>
        </is>
      </c>
      <c r="H303" t="inlineStr">
        <is>
          <t>https://www.reinsurancene.ws/zurichs-8-1bn-beazley-acquisition-to-complete-october-1-following-regulatory-clearance/</t>
        </is>
      </c>
      <c r="I303" t="inlineStr">
        <is>
          <t>2026-09-11</t>
        </is>
      </c>
    </row>
    <row r="304">
      <c r="A304" t="inlineStr">
        <is>
          <t>2026-09-16</t>
        </is>
      </c>
      <c r="B304" t="inlineStr">
        <is>
          <t>Property &amp; Casualty</t>
        </is>
      </c>
      <c r="C304" t="inlineStr">
        <is>
          <t>People &amp; Leadership</t>
        </is>
      </c>
      <c r="D304" t="inlineStr">
        <is>
          <t>United States</t>
        </is>
      </c>
      <c r="E304" t="inlineStr">
        <is>
          <t>AIG's Peter Zaffino to step down as board chair, join Palantir as financial-services head</t>
        </is>
      </c>
      <c r="F304" t="inlineStr">
        <is>
          <t>AIG executive chair Peter Zaffino will depart to lead Palantir's financial-services growth business, including insurers, banks, asset managers and private equity firms; lead independent director John Rice succeeds him as board chair.</t>
        </is>
      </c>
      <c r="G304" t="inlineStr">
        <is>
          <t>Insurance Journal</t>
        </is>
      </c>
      <c r="H304" t="inlineStr">
        <is>
          <t>https://www.insurancejournal.com/news/national/2026/09/02/883669.htm</t>
        </is>
      </c>
      <c r="I304" t="inlineStr">
        <is>
          <t>2026-09-02</t>
        </is>
      </c>
    </row>
    <row r="305">
      <c r="A305" t="inlineStr">
        <is>
          <t>2026-09-16</t>
        </is>
      </c>
      <c r="B305" t="inlineStr">
        <is>
          <t>Property &amp; Casualty</t>
        </is>
      </c>
      <c r="C305" t="inlineStr">
        <is>
          <t>People &amp; Leadership</t>
        </is>
      </c>
      <c r="D305" t="inlineStr">
        <is>
          <t>APAC</t>
        </is>
      </c>
      <c r="E305" t="inlineStr">
        <is>
          <t>AXA XL taps Augustin Gas to lead Asia reinsurance business from Singapore</t>
        </is>
      </c>
      <c r="F305" t="inlineStr">
        <is>
          <t>AXA XL Reinsurance appointed Augustin Gas, formerly of Arch Re and two decades at Scor including as Asia-Pacific P&amp;C chief underwriting officer, to lead its Singapore-based Asia reinsurance team effective September 1.</t>
        </is>
      </c>
      <c r="G305" t="inlineStr">
        <is>
          <t>Reinsurance News</t>
        </is>
      </c>
      <c r="H305" t="inlineStr">
        <is>
          <t>https://www.reinsurancene.ws/axa-xl-re-appoints-augustin-gas-as-head-of-asia-reinsurance/</t>
        </is>
      </c>
      <c r="I305" t="inlineStr">
        <is>
          <t>2026-09-01</t>
        </is>
      </c>
    </row>
    <row r="306">
      <c r="A306" t="inlineStr">
        <is>
          <t>2026-09-17</t>
        </is>
      </c>
      <c r="B306" t="inlineStr">
        <is>
          <t>Life &amp; Annuities</t>
        </is>
      </c>
      <c r="C306" t="inlineStr">
        <is>
          <t>Market Economics</t>
        </is>
      </c>
      <c r="D306" t="inlineStr">
        <is>
          <t>United States</t>
        </is>
      </c>
      <c r="E306" t="inlineStr">
        <is>
          <t>AM Best finds U.S. life/annuity industry net income dipped slightly in first half of 2026</t>
        </is>
      </c>
      <c r="F306" t="inlineStr">
        <is>
          <t>AM Best's latest special report shows the U.S. life and annuity insurance industry's net income was roughly flat to slightly lower in H1 2026 versus the prior-year period, even as annuity sales held near record levels.</t>
        </is>
      </c>
      <c r="G306" t="inlineStr">
        <is>
          <t>InsuranceNewsNet (AM Best)</t>
        </is>
      </c>
      <c r="H306" t="inlineStr">
        <is>
          <t>https://insurancenewsnet.com/oarticle/bests-special-report-first-half-2026-net-income-in-u-s-life-annuity-insurance-industry-dips-slightly</t>
        </is>
      </c>
      <c r="I306" t="inlineStr">
        <is>
          <t>2026-09-10</t>
        </is>
      </c>
    </row>
    <row r="307">
      <c r="A307" t="inlineStr">
        <is>
          <t>2026-09-17</t>
        </is>
      </c>
      <c r="B307" t="inlineStr">
        <is>
          <t>Life &amp; Annuities</t>
        </is>
      </c>
      <c r="C307" t="inlineStr">
        <is>
          <t>People &amp; Leadership</t>
        </is>
      </c>
      <c r="D307" t="inlineStr">
        <is>
          <t>United States</t>
        </is>
      </c>
      <c r="E307" t="inlineStr">
        <is>
          <t>Lincoln Financial CFO departs amid wave of executive changes</t>
        </is>
      </c>
      <c r="F307" t="inlineStr">
        <is>
          <t>Lincoln Financial's CFO left the insurer for a role outside the industry, with an internal executive named interim CFO, continuing a string of senior leadership turnover at the carrier.</t>
        </is>
      </c>
      <c r="G307" t="inlineStr">
        <is>
          <t>Insurance Business Magazine</t>
        </is>
      </c>
      <c r="H307" t="inlineStr">
        <is>
          <t>https://www.insurancebusinessmag.com/us/news/life-insurance/lincoln-financial-cfo-exits-amid-string-of-senior-leadership-changes-585524.aspx</t>
        </is>
      </c>
      <c r="I307" t="inlineStr">
        <is>
          <t>2026-09-11</t>
        </is>
      </c>
    </row>
    <row r="308">
      <c r="A308" t="inlineStr">
        <is>
          <t>2026-09-17</t>
        </is>
      </c>
      <c r="B308" t="inlineStr">
        <is>
          <t>Retirement</t>
        </is>
      </c>
      <c r="C308" t="inlineStr">
        <is>
          <t>Regulatory &amp; Policy</t>
        </is>
      </c>
      <c r="D308" t="inlineStr">
        <is>
          <t>United States</t>
        </is>
      </c>
      <c r="E308" t="inlineStr">
        <is>
          <t>Plan sponsors face year-end deadline to formally adopt SECURE 2.0 amendments</t>
        </is>
      </c>
      <c r="F308" t="inlineStr">
        <is>
          <t>Calendar-year 401(k) and 403(b) plans must complete formal SECURE 2.0 plan-document amendments by December 31, 2026, pushing sponsors and recordkeepers to finalize compliance changes this fall.</t>
        </is>
      </c>
      <c r="G308" t="inlineStr">
        <is>
          <t>Employee Fiduciary</t>
        </is>
      </c>
      <c r="H308" t="inlineStr">
        <is>
          <t>https://www.employeefiduciary.com/blog/prepare-your-401k-for-secure-2.0</t>
        </is>
      </c>
      <c r="I308" t="inlineStr">
        <is>
          <t>2026-09-08</t>
        </is>
      </c>
    </row>
    <row r="309">
      <c r="A309" t="inlineStr">
        <is>
          <t>2026-09-17</t>
        </is>
      </c>
      <c r="B309" t="inlineStr">
        <is>
          <t>Investments</t>
        </is>
      </c>
      <c r="C309" t="inlineStr">
        <is>
          <t>Market Economics</t>
        </is>
      </c>
      <c r="D309" t="inlineStr">
        <is>
          <t>United States</t>
        </is>
      </c>
      <c r="E309" t="inlineStr">
        <is>
          <t>Money market fund assets ease to $7.97 trillion as investors rotate positioning</t>
        </is>
      </c>
      <c r="F309" t="inlineStr">
        <is>
          <t>Total U.S. money market fund assets fell by about $6.1 billion to roughly $7.97 trillion for the week ended September 9, 2026, according to Investment Company Institute data.</t>
        </is>
      </c>
      <c r="G309" t="inlineStr">
        <is>
          <t>Investment Company Institute</t>
        </is>
      </c>
      <c r="H309" t="inlineStr">
        <is>
          <t>https://www.ici.org/research/stats/mmf</t>
        </is>
      </c>
      <c r="I309" t="inlineStr">
        <is>
          <t>2026-09-10</t>
        </is>
      </c>
    </row>
    <row r="310">
      <c r="A310" t="inlineStr">
        <is>
          <t>2026-09-17</t>
        </is>
      </c>
      <c r="B310" t="inlineStr">
        <is>
          <t>Wealth Management</t>
        </is>
      </c>
      <c r="C310" t="inlineStr">
        <is>
          <t>M&amp;A</t>
        </is>
      </c>
      <c r="D310" t="inlineStr">
        <is>
          <t>United States</t>
        </is>
      </c>
      <c r="E310" t="inlineStr">
        <is>
          <t>Envestnet agrees to acquire wealthtech rival Vestmark to expand trading and tax tools</t>
        </is>
      </c>
      <c r="F310" t="inlineStr">
        <is>
          <t>Envestnet signed a deal on September 9 to acquire Vestmark, a wealth management technology provider supporting more than $2 trillion in assets, adding institutional-grade trading and tax-transition capabilities to its platform ahead of a planned Q4 close.</t>
        </is>
      </c>
      <c r="G310" t="inlineStr">
        <is>
          <t>InvestmentNews</t>
        </is>
      </c>
      <c r="H310" t="inlineStr">
        <is>
          <t>https://www.investmentnews.com/fintech/envestnet-agrees-to-buy-vestmark-adding-institutional-trading-muscle/268128</t>
        </is>
      </c>
      <c r="I310" t="inlineStr">
        <is>
          <t>2026-09-09</t>
        </is>
      </c>
    </row>
    <row r="311">
      <c r="A311" t="inlineStr">
        <is>
          <t>2026-09-17</t>
        </is>
      </c>
      <c r="B311" t="inlineStr">
        <is>
          <t>TPA</t>
        </is>
      </c>
      <c r="C311" t="inlineStr">
        <is>
          <t>M&amp;A</t>
        </is>
      </c>
      <c r="D311" t="inlineStr">
        <is>
          <t>United States</t>
        </is>
      </c>
      <c r="E311" t="inlineStr">
        <is>
          <t>TPA consolidation expected to stabilize as financing conditions ease</t>
        </is>
      </c>
      <c r="F311" t="inlineStr">
        <is>
          <t>Deal activity among employee-benefits third-party administrators cooled in 2025 amid higher rates and valuation resets, but private equity sponsors and strategics remain active, with consolidation expected to gradually reaccelerate as financing normalizes.</t>
        </is>
      </c>
      <c r="G311" t="inlineStr">
        <is>
          <t>Hyde Park Capital</t>
        </is>
      </c>
      <c r="H311" t="inlineStr">
        <is>
          <t>https://www.hydeparkcapital.com/insights/industry-reports/employee-benefits-market-insights-winter-2026/</t>
        </is>
      </c>
      <c r="I311" t="inlineStr">
        <is>
          <t>2026-08-15</t>
        </is>
      </c>
    </row>
    <row r="312">
      <c r="A312" t="inlineStr">
        <is>
          <t>2026-09-17</t>
        </is>
      </c>
      <c r="B312" t="inlineStr">
        <is>
          <t>FinTech</t>
        </is>
      </c>
      <c r="C312" t="inlineStr">
        <is>
          <t>Technology &amp; AI</t>
        </is>
      </c>
      <c r="D312" t="inlineStr">
        <is>
          <t>Global</t>
        </is>
      </c>
      <c r="E312" t="inlineStr">
        <is>
          <t>Sapiens launches autonomous AI insurance platform for carriers</t>
        </is>
      </c>
      <c r="F312" t="inlineStr">
        <is>
          <t>Sapiens International unveiled SapiensAIP, an AI-native platform aimed at helping insurance carriers move beyond pilot projects and embed autonomous AI capabilities across underwriting and claims operations.</t>
        </is>
      </c>
      <c r="G312" t="inlineStr">
        <is>
          <t>FinTech Global</t>
        </is>
      </c>
      <c r="H312" t="inlineStr">
        <is>
          <t>https://fintech.global/2026/09/14/sapiens-launches-ai-native-insurance-platform-sapiensaip/</t>
        </is>
      </c>
      <c r="I312" t="inlineStr">
        <is>
          <t>2026-09-14</t>
        </is>
      </c>
    </row>
    <row r="313">
      <c r="A313" t="inlineStr">
        <is>
          <t>2026-09-17</t>
        </is>
      </c>
      <c r="B313" t="inlineStr">
        <is>
          <t>FinTech</t>
        </is>
      </c>
      <c r="C313" t="inlineStr">
        <is>
          <t>Investments &amp; Funding</t>
        </is>
      </c>
      <c r="D313" t="inlineStr">
        <is>
          <t>Global</t>
        </is>
      </c>
      <c r="E313" t="inlineStr">
        <is>
          <t>AI-agent risk auditor AIUC raises $40 million Series A</t>
        </is>
      </c>
      <c r="F313" t="inlineStr">
        <is>
          <t>AIUC raised a $40 million Series A to scale its AI audit and certification standard, AIUC-1, which stress-tests AI agents used in financial services against jailbreaks, hallucinations and data-leak risks.</t>
        </is>
      </c>
      <c r="G313" t="inlineStr">
        <is>
          <t>FinTech Global</t>
        </is>
      </c>
      <c r="H313" t="inlineStr">
        <is>
          <t>https://fintech.global/2026/09/17/aiuc-raises-40m-to-police-risk-in-frontier-ai-agents/</t>
        </is>
      </c>
      <c r="I313" t="inlineStr">
        <is>
          <t>2026-09-17</t>
        </is>
      </c>
    </row>
    <row r="314">
      <c r="A314" t="inlineStr">
        <is>
          <t>2026-09-17</t>
        </is>
      </c>
      <c r="B314" t="inlineStr">
        <is>
          <t>BrokerTech</t>
        </is>
      </c>
      <c r="C314" t="inlineStr">
        <is>
          <t>Technology &amp; AI</t>
        </is>
      </c>
      <c r="D314" t="inlineStr">
        <is>
          <t>UK/Europe</t>
        </is>
      </c>
      <c r="E314" t="inlineStr">
        <is>
          <t>Kayna launches real-time coverage-gap tool for insurance brokers</t>
        </is>
      </c>
      <c r="F314" t="inlineStr">
        <is>
          <t>Insurtech firm Kayna introduced Risk Manager, a module that scans policy wording in real time to flag coverage shortfalls and prompt brokers toward compliance-driven insurance purchases.</t>
        </is>
      </c>
      <c r="G314" t="inlineStr">
        <is>
          <t>FinTech Global</t>
        </is>
      </c>
      <c r="H314" t="inlineStr">
        <is>
          <t>https://fintech.global/2026/09/15/kayna-unveils-insurtech-tool-to-close-coverage-gaps/</t>
        </is>
      </c>
      <c r="I314" t="inlineStr">
        <is>
          <t>2026-09-15</t>
        </is>
      </c>
    </row>
    <row r="315">
      <c r="A315" t="inlineStr">
        <is>
          <t>2026-09-17</t>
        </is>
      </c>
      <c r="B315" t="inlineStr">
        <is>
          <t>Insurtech</t>
        </is>
      </c>
      <c r="C315" t="inlineStr">
        <is>
          <t>Regulatory &amp; Policy</t>
        </is>
      </c>
      <c r="D315" t="inlineStr">
        <is>
          <t>Global</t>
        </is>
      </c>
      <c r="E315" t="inlineStr">
        <is>
          <t>Undeclared employee AI use emerges as a blind spot for cyber insurers</t>
        </is>
      </c>
      <c r="F315" t="inlineStr">
        <is>
          <t>Cyber insurance leaders are increasingly treating AI as an extension of existing technology risk rather than a standalone category, but unauthorized employee use of AI tools is complicating underwriting as a growing share of workplace AI activity happens outside corporate oversight.</t>
        </is>
      </c>
      <c r="G315" t="inlineStr">
        <is>
          <t>FinTech Global</t>
        </is>
      </c>
      <c r="H315" t="inlineStr">
        <is>
          <t>https://fintech.global/2026/09/16/undeclared-ai-is-becoming-cyber-insurances-blind-spot/</t>
        </is>
      </c>
      <c r="I315" t="inlineStr">
        <is>
          <t>2026-09-16</t>
        </is>
      </c>
    </row>
    <row r="316">
      <c r="A316" t="inlineStr">
        <is>
          <t>2026-09-17</t>
        </is>
      </c>
      <c r="B316" t="inlineStr">
        <is>
          <t>Health Insurance / Payer</t>
        </is>
      </c>
      <c r="C316" t="inlineStr">
        <is>
          <t>Market Economics</t>
        </is>
      </c>
      <c r="D316" t="inlineStr">
        <is>
          <t>United States</t>
        </is>
      </c>
      <c r="E316" t="inlineStr">
        <is>
          <t>UnitedHealthcare and Humana pull back Medicare Advantage footprints for 2026</t>
        </is>
      </c>
      <c r="F316" t="inlineStr">
        <is>
          <t>The two largest Medicare Advantage insurers are exiting far more counties than they are entering for 2026, with UnitedHealthcare leaving 225 counties and Humana leaving 198, even as CMS raised per-beneficiary MA funding by 8.5%.</t>
        </is>
      </c>
      <c r="G316" t="inlineStr">
        <is>
          <t>Kiplinger</t>
        </is>
      </c>
      <c r="H316" t="inlineStr">
        <is>
          <t>https://www.kiplinger.com/retirement/medicare/insurers-scale-back-medicare-advantage-and-part-d-plans-for-2026</t>
        </is>
      </c>
      <c r="I316" t="inlineStr">
        <is>
          <t>2026-09-05</t>
        </is>
      </c>
    </row>
    <row r="317">
      <c r="A317" t="inlineStr">
        <is>
          <t>2026-09-17</t>
        </is>
      </c>
      <c r="B317" t="inlineStr">
        <is>
          <t>Health Insurance / Payer</t>
        </is>
      </c>
      <c r="C317" t="inlineStr">
        <is>
          <t>Regulatory &amp; Policy</t>
        </is>
      </c>
      <c r="D317" t="inlineStr">
        <is>
          <t>United States</t>
        </is>
      </c>
      <c r="E317" t="inlineStr">
        <is>
          <t>FOIA documents show Medicare's AI prior-authorization pilot denying care at high rates</t>
        </is>
      </c>
      <c r="F317" t="inlineStr">
        <is>
          <t>Records obtained by the Electronic Frontier Foundation through a FOIA lawsuit show CMS's WISeR AI prior-authorization pilot has produced denial rates far above traditional Medicare Advantage plans, with one contractor denying more requests than it approved and facing a corrective action plan.</t>
        </is>
      </c>
      <c r="G317" t="inlineStr">
        <is>
          <t>STAT News</t>
        </is>
      </c>
      <c r="H317" t="inlineStr">
        <is>
          <t>https://www.statnews.com/2026/09/15/medicare-wiser-ai-prior-authorization-pilot-rushed-launch-delayed-care/</t>
        </is>
      </c>
      <c r="I317" t="inlineStr">
        <is>
          <t>2026-09-15</t>
        </is>
      </c>
    </row>
    <row r="318">
      <c r="A318" t="inlineStr">
        <is>
          <t>2026-09-17</t>
        </is>
      </c>
      <c r="B318" t="inlineStr">
        <is>
          <t>Healthcare / Provider &amp; Clinical</t>
        </is>
      </c>
      <c r="C318" t="inlineStr">
        <is>
          <t>Technology &amp; AI</t>
        </is>
      </c>
      <c r="D318" t="inlineStr">
        <is>
          <t>United States</t>
        </is>
      </c>
      <c r="E318" t="inlineStr">
        <is>
          <t>Health systems report major documentation-time savings from ambient AI scribes</t>
        </is>
      </c>
      <c r="F318" t="inlineStr">
        <is>
          <t>Health systems including Intermountain Health and Cooper University Healthcare are reporting significant reductions in clinical documentation time after deploying ambient AI dictation tools such as Microsoft's Dragon Copilot, even as governance questions around clinician oversight persist.</t>
        </is>
      </c>
      <c r="G318" t="inlineStr">
        <is>
          <t>HIStalk</t>
        </is>
      </c>
      <c r="H318" t="inlineStr">
        <is>
          <t>https://histalk2.com/2026/09/16/healthcare-ai-news-9-16-26/</t>
        </is>
      </c>
      <c r="I318" t="inlineStr">
        <is>
          <t>2026-09-16</t>
        </is>
      </c>
    </row>
    <row r="319">
      <c r="A319" t="inlineStr">
        <is>
          <t>2026-09-17</t>
        </is>
      </c>
      <c r="B319" t="inlineStr">
        <is>
          <t>Insurtech</t>
        </is>
      </c>
      <c r="C319" t="inlineStr">
        <is>
          <t>Market Economics</t>
        </is>
      </c>
      <c r="D319" t="inlineStr">
        <is>
          <t>APAC</t>
        </is>
      </c>
      <c r="E319" t="inlineStr">
        <is>
          <t>APAC reinsurers weigh stabilizing facultative pricing as regional risk appetite grows</t>
        </is>
      </c>
      <c r="F319" t="inlineStr">
        <is>
          <t>Industry leaders gathering at the East Asia Insurance Congress in Tokyo discussed a softening APAC facultative reinsurance market approaching a floor, alongside resilient non-life demand growth and emerging opportunities in AI, cyber and infrastructure risk.</t>
        </is>
      </c>
      <c r="G319" t="inlineStr">
        <is>
          <t>Intelligent Insurer</t>
        </is>
      </c>
      <c r="H319" t="inlineStr">
        <is>
          <t>https://www.intelligentinsurer.com/eaic-today/apac-fac-market-heads-towards-stability-after-prolonged-softening</t>
        </is>
      </c>
      <c r="I319" t="inlineStr">
        <is>
          <t>2026-09-15</t>
        </is>
      </c>
    </row>
    <row r="320">
      <c r="A320" t="inlineStr">
        <is>
          <t>2026-09-17</t>
        </is>
      </c>
      <c r="B320" t="inlineStr">
        <is>
          <t>Wealth Management</t>
        </is>
      </c>
      <c r="C320" t="inlineStr">
        <is>
          <t>Investments &amp; Funding</t>
        </is>
      </c>
      <c r="D320" t="inlineStr">
        <is>
          <t>UK/Europe</t>
        </is>
      </c>
      <c r="E320" t="inlineStr">
        <is>
          <t>Wealthtech platform FNZ raises $450 million as advisor AI investment accelerates</t>
        </is>
      </c>
      <c r="F320" t="inlineStr">
        <is>
          <t>UK-based wealth management platform FNZ closed a $450 million funding round as part of a broader wave of WealthTech investment, with more than $1.36 billion flowing into fintech deals in early September and AI-native advisor tools drawing outsized interest.</t>
        </is>
      </c>
      <c r="G320" t="inlineStr">
        <is>
          <t>FinanceX Magazine</t>
        </is>
      </c>
      <c r="H320" t="inlineStr">
        <is>
          <t>https://www.financexmagazine.com/post/fnz-s-450m-signal-wealthai-s-adviser-play-and-the-week-wealthtech-grew-up</t>
        </is>
      </c>
      <c r="I320" t="inlineStr">
        <is>
          <t>2026-09-08</t>
        </is>
      </c>
    </row>
    <row r="321">
      <c r="A321" t="inlineStr">
        <is>
          <t>2026-09-18</t>
        </is>
      </c>
      <c r="B321" t="inlineStr">
        <is>
          <t>Life &amp; Annuities</t>
        </is>
      </c>
      <c r="C321" t="inlineStr">
        <is>
          <t>Regulatory &amp; Policy</t>
        </is>
      </c>
      <c r="D321" t="inlineStr">
        <is>
          <t>India</t>
        </is>
      </c>
      <c r="E321" t="inlineStr">
        <is>
          <t>Indian insurer shares rally on hopes IRDAI will cap distribution commissions</t>
        </is>
      </c>
      <c r="F321" t="inlineStr">
        <is>
          <t>Shares of Indian life and general insurers rose on September 18 as investors anticipated a regulatory consultation paper that could cap the commissions insurers pay banks for distribution, a move that would lower acquisition costs and could widen underwriting margins.</t>
        </is>
      </c>
      <c r="G321" t="inlineStr">
        <is>
          <t>Whalesbook</t>
        </is>
      </c>
      <c r="H321" t="inlineStr">
        <is>
          <t>https://www.whalesbook.com/news/English/insurance/Insurance-Shares-Rise-on-Hopes-of-IRDAI-Commission-Caps/6aac34f9ed7f8e81734ec9ce</t>
        </is>
      </c>
      <c r="I321" t="inlineStr">
        <is>
          <t>2026-09-18</t>
        </is>
      </c>
    </row>
    <row r="322">
      <c r="A322" t="inlineStr">
        <is>
          <t>2026-09-18</t>
        </is>
      </c>
      <c r="B322" t="inlineStr">
        <is>
          <t>Retirement</t>
        </is>
      </c>
      <c r="C322" t="inlineStr">
        <is>
          <t>Market Economics</t>
        </is>
      </c>
      <c r="D322" t="inlineStr">
        <is>
          <t>United States</t>
        </is>
      </c>
      <c r="E322" t="inlineStr">
        <is>
          <t>401(k) balances hit record highs as long-tenured savers cross $270,000</t>
        </is>
      </c>
      <c r="F322" t="inlineStr">
        <is>
          <t>An analysis of more than 55 million retirement accounts found women continuously enrolled in a 401(k) for at least five years reached an average balance of $273,400 in Q2 2026, while millennial balances climbed 14.2% year-over-year to $94,300.</t>
        </is>
      </c>
      <c r="G322" t="inlineStr">
        <is>
          <t>ASPPA</t>
        </is>
      </c>
      <c r="H322" t="inlineStr">
        <is>
          <t>https://www.asppa-net.org/news/2026/9/record-high-retirement-balances-workers-prioritize-saving/</t>
        </is>
      </c>
      <c r="I322" t="inlineStr">
        <is>
          <t>2026-09-16</t>
        </is>
      </c>
    </row>
    <row r="323">
      <c r="A323" t="inlineStr">
        <is>
          <t>2026-09-18</t>
        </is>
      </c>
      <c r="B323" t="inlineStr">
        <is>
          <t>TPA</t>
        </is>
      </c>
      <c r="C323" t="inlineStr">
        <is>
          <t>Regulatory &amp; Policy</t>
        </is>
      </c>
      <c r="D323" t="inlineStr">
        <is>
          <t>United States</t>
        </is>
      </c>
      <c r="E323" t="inlineStr">
        <is>
          <t>Illumifin wins five-year CalPERS long-term-care TPA contract</t>
        </is>
      </c>
      <c r="F323" t="inlineStr">
        <is>
          <t>CalPERS approved a five-year third-party-administrator contract with Illumifin to run its long-term care insurance program from July 2026 through June 2031, continuing the state pension system's outsourced claims and policy administration.</t>
        </is>
      </c>
      <c r="G323" t="inlineStr">
        <is>
          <t>CalPERS</t>
        </is>
      </c>
      <c r="H323" t="inlineStr">
        <is>
          <t>https://www.calpers.ca.gov/documents/202509-pension-item-3a-a/download</t>
        </is>
      </c>
      <c r="I323" t="inlineStr">
        <is>
          <t>2026-09-15</t>
        </is>
      </c>
    </row>
    <row r="324">
      <c r="A324" t="inlineStr">
        <is>
          <t>2026-09-18</t>
        </is>
      </c>
      <c r="B324" t="inlineStr">
        <is>
          <t>Investments</t>
        </is>
      </c>
      <c r="C324" t="inlineStr">
        <is>
          <t>Technology &amp; AI</t>
        </is>
      </c>
      <c r="D324" t="inlineStr">
        <is>
          <t>Global</t>
        </is>
      </c>
      <c r="E324" t="inlineStr">
        <is>
          <t>Insurers weigh fixed-income allocations as AI-driven bond issuance surges</t>
        </is>
      </c>
      <c r="F324" t="inlineStr">
        <is>
          <t>Apollo's fixed-income strategists examined how a boom in AI-infrastructure-linked debt issuance is reshaping credit markets and what it means for institutional and insurance-company bond portfolios seeking yield and diversification.</t>
        </is>
      </c>
      <c r="G324" t="inlineStr">
        <is>
          <t>Apollo Global Management</t>
        </is>
      </c>
      <c r="H324" t="inlineStr">
        <is>
          <t>https://www.apollo.com/institutional/insights-news/insights/podcast/the-allocation/2026/09/fixed-income-the-ai-issuance-boom-and-what-it-means-for-portfolios</t>
        </is>
      </c>
      <c r="I324" t="inlineStr">
        <is>
          <t>2026-09-15</t>
        </is>
      </c>
    </row>
    <row r="325">
      <c r="A325" t="inlineStr">
        <is>
          <t>2026-09-18</t>
        </is>
      </c>
      <c r="B325" t="inlineStr">
        <is>
          <t>Property &amp; Casualty</t>
        </is>
      </c>
      <c r="C325" t="inlineStr">
        <is>
          <t>M&amp;A</t>
        </is>
      </c>
      <c r="D325" t="inlineStr">
        <is>
          <t>Global</t>
        </is>
      </c>
      <c r="E325" t="inlineStr">
        <is>
          <t>Zurich's pending Beazley deal would make it the largest cyber insurer</t>
        </is>
      </c>
      <c r="F325" t="inlineStr">
        <is>
          <t>A specialty-lines market report noted Chubb currently leads cyber insurance premium volume, but Zurich's announced acquisition of Beazley would vault it to the top spot once the deal closes, reshaping the competitive order in cyber underwriting.</t>
        </is>
      </c>
      <c r="G325" t="inlineStr">
        <is>
          <t>CRC Group</t>
        </is>
      </c>
      <c r="H325" t="inlineStr">
        <is>
          <t>https://www.crcgroup.com/Tools-Intel/Specialty-Tools-Intel/2026-cyber-state-of-the-market-at-a-glance</t>
        </is>
      </c>
      <c r="I325" t="inlineStr">
        <is>
          <t>2026-09-01</t>
        </is>
      </c>
    </row>
    <row r="326">
      <c r="A326" t="inlineStr">
        <is>
          <t>2026-09-18</t>
        </is>
      </c>
      <c r="B326" t="inlineStr">
        <is>
          <t>Brokers &amp; MGA/GA</t>
        </is>
      </c>
      <c r="C326" t="inlineStr">
        <is>
          <t>Market Economics</t>
        </is>
      </c>
      <c r="D326" t="inlineStr">
        <is>
          <t>United States</t>
        </is>
      </c>
      <c r="E326" t="inlineStr">
        <is>
          <t>US surplus lines premium hits record $143 billion as placement shifts</t>
        </is>
      </c>
      <c r="F326" t="inlineStr">
        <is>
          <t>Excess and surplus lines premium in the US climbed to a record roughly $143 billion, Insurance Business reported, as specialty and non-admitted capacity continues to take share from the standard admitted market.</t>
        </is>
      </c>
      <c r="G326" t="inlineStr">
        <is>
          <t>Insurance Business America</t>
        </is>
      </c>
      <c r="H326" t="inlineStr">
        <is>
          <t>https://www.insurancebusinessmag.com/us/news/excess-surplus/surplus-lines-hit-143bn-record-as-placement-market-shifts-589475.aspx</t>
        </is>
      </c>
      <c r="I326" t="inlineStr">
        <is>
          <t>2026-09-14</t>
        </is>
      </c>
    </row>
    <row r="327">
      <c r="A327" t="inlineStr">
        <is>
          <t>2026-09-18</t>
        </is>
      </c>
      <c r="B327" t="inlineStr">
        <is>
          <t>Health Insurance / Payer</t>
        </is>
      </c>
      <c r="C327" t="inlineStr">
        <is>
          <t>Regulatory &amp; Policy</t>
        </is>
      </c>
      <c r="D327" t="inlineStr">
        <is>
          <t>United States</t>
        </is>
      </c>
      <c r="E327" t="inlineStr">
        <is>
          <t>House GOP bill would steer MedPAC's Medicare Advantage overpayment math</t>
        </is>
      </c>
      <c r="F327" t="inlineStr">
        <is>
          <t>House Ways and Means Republicans advanced a bill directing the Medicare Payment Advisory Commission to restate its methodology for estimating Medicare Advantage overpayments in a way critics say would favor insurers over a stricter apples-to-apples comparison with traditional Medicare.</t>
        </is>
      </c>
      <c r="G327" t="inlineStr">
        <is>
          <t>STAT News</t>
        </is>
      </c>
      <c r="H327" t="inlineStr">
        <is>
          <t>https://www.statnews.com/2026/09/16/medicare-advantage-overpayments-analysis-medpac-change-apples-to-apples-act/</t>
        </is>
      </c>
      <c r="I327" t="inlineStr">
        <is>
          <t>2026-09-16</t>
        </is>
      </c>
    </row>
    <row r="328">
      <c r="A328" t="inlineStr">
        <is>
          <t>2026-09-18</t>
        </is>
      </c>
      <c r="B328" t="inlineStr">
        <is>
          <t>Health Insurance / Payer</t>
        </is>
      </c>
      <c r="C328" t="inlineStr">
        <is>
          <t>Regulatory &amp; Policy</t>
        </is>
      </c>
      <c r="D328" t="inlineStr">
        <is>
          <t>United States</t>
        </is>
      </c>
      <c r="E328" t="inlineStr">
        <is>
          <t>White House orders $500 refunds to ACA exchange enrollees over fee overcharges</t>
        </is>
      </c>
      <c r="F328" t="inlineStr">
        <is>
          <t>The administration announced roughly $500 rebates to nearly a million people enrolled in federal ACA exchanges, tied to user fees collected to fund exchange operations that regulators determined had overcharged enrollees.</t>
        </is>
      </c>
      <c r="G328" t="inlineStr">
        <is>
          <t>HHS ASPE</t>
        </is>
      </c>
      <c r="H328" t="inlineStr">
        <is>
          <t>https://aspe.hhs.gov/reports/aca-exchange-enrollment-2026</t>
        </is>
      </c>
      <c r="I328" t="inlineStr">
        <is>
          <t>2026-09-10</t>
        </is>
      </c>
    </row>
    <row r="329">
      <c r="A329" t="inlineStr">
        <is>
          <t>2026-09-18</t>
        </is>
      </c>
      <c r="B329" t="inlineStr">
        <is>
          <t>Wealth Management</t>
        </is>
      </c>
      <c r="C329" t="inlineStr">
        <is>
          <t>Regulatory &amp; Policy</t>
        </is>
      </c>
      <c r="D329" t="inlineStr">
        <is>
          <t>UK/Europe</t>
        </is>
      </c>
      <c r="E329" t="inlineStr">
        <is>
          <t>EU regulators press for AI-risk oversight as EIOPA chief's term is extended</t>
        </is>
      </c>
      <c r="F329" t="inlineStr">
        <is>
          <t>The EU's three financial supervisory authorities called on banks, insurers and investment firms to recalibrate ICT risk controls for frontier AI models, while the Council of the EU separately extended EIOPA chair Petra Hielkema's mandate for a second five-year term starting September 1.</t>
        </is>
      </c>
      <c r="G329" t="inlineStr">
        <is>
          <t>Sidley Austin</t>
        </is>
      </c>
      <c r="H329" t="inlineStr">
        <is>
          <t>https://www.sidley.com/en/insights/newsupdates/2026/09/uk-eu-investment-management-update-september-2026</t>
        </is>
      </c>
      <c r="I329" t="inlineStr">
        <is>
          <t>2026-09-01</t>
        </is>
      </c>
    </row>
    <row r="330">
      <c r="A330" t="inlineStr">
        <is>
          <t>2026-09-18</t>
        </is>
      </c>
      <c r="B330" t="inlineStr">
        <is>
          <t>Property &amp; Casualty</t>
        </is>
      </c>
      <c r="C330" t="inlineStr">
        <is>
          <t>Regulatory &amp; Policy</t>
        </is>
      </c>
      <c r="D330" t="inlineStr">
        <is>
          <t>APAC</t>
        </is>
      </c>
      <c r="E330" t="inlineStr">
        <is>
          <t>Beijing extends first-ever recapitalization to state insurers</t>
        </is>
      </c>
      <c r="F330" t="inlineStr">
        <is>
          <t>China's government included state-owned insurers for the first time in a roughly $53.6 billion capital injection program alongside state banks, though analysts noted the relatively modest insurer allocation reflects already-healthy capital positions.</t>
        </is>
      </c>
      <c r="G330" t="inlineStr">
        <is>
          <t>Insurance Business Asia</t>
        </is>
      </c>
      <c r="H330" t="inlineStr">
        <is>
          <t>https://www.insurancebusinessmag.com/asia/news/breaking-news/chinas-state-insurers-receive-firstever-government-recapitalisation-589042.aspx</t>
        </is>
      </c>
      <c r="I330" t="inlineStr">
        <is>
          <t>2026-09-06</t>
        </is>
      </c>
    </row>
    <row r="331">
      <c r="A331" t="inlineStr">
        <is>
          <t>2026-09-18</t>
        </is>
      </c>
      <c r="B331" t="inlineStr">
        <is>
          <t>Property &amp; Casualty</t>
        </is>
      </c>
      <c r="C331" t="inlineStr">
        <is>
          <t>Regulatory &amp; Policy</t>
        </is>
      </c>
      <c r="D331" t="inlineStr">
        <is>
          <t>APAC</t>
        </is>
      </c>
      <c r="E331" t="inlineStr">
        <is>
          <t>China proposes fivefold hike in minimum insurer capital requirements</t>
        </is>
      </c>
      <c r="F331" t="inlineStr">
        <is>
          <t>China's National Financial Regulatory Administration released a draft revision to the Insurance Law that would raise insurers' minimum registered capital roughly fivefold, from CNY200 million to CNY1 billion (about $149 million).</t>
        </is>
      </c>
      <c r="G331" t="inlineStr">
        <is>
          <t>Business Insurance</t>
        </is>
      </c>
      <c r="H331" t="inlineStr">
        <is>
          <t>https://www.businessinsurance.com/china-proposes-fivefold-increase-in-insurer-capital/</t>
        </is>
      </c>
      <c r="I331" t="inlineStr">
        <is>
          <t>2026-09-10</t>
        </is>
      </c>
    </row>
    <row r="332">
      <c r="A332" t="inlineStr">
        <is>
          <t>2026-09-18</t>
        </is>
      </c>
      <c r="B332" t="inlineStr">
        <is>
          <t>Insurtech</t>
        </is>
      </c>
      <c r="C332" t="inlineStr">
        <is>
          <t>Investments &amp; Funding</t>
        </is>
      </c>
      <c r="D332" t="inlineStr">
        <is>
          <t>United States</t>
        </is>
      </c>
      <c r="E332" t="inlineStr">
        <is>
          <t>AI medical-liability insurtech Indigo raises $50 million Series B</t>
        </is>
      </c>
      <c r="F332" t="inlineStr">
        <is>
          <t>Indigo, an AI-driven platform underwriting medical professional liability coverage, closed a $50 million Series B round to expand its data-driven risk assessment tools for healthcare providers.</t>
        </is>
      </c>
      <c r="G332" t="inlineStr">
        <is>
          <t>InsNerds</t>
        </is>
      </c>
      <c r="H332" t="inlineStr">
        <is>
          <t>https://insnerds.com/news/insurtech-indigo-raises-50m-series-b-funding-round</t>
        </is>
      </c>
      <c r="I332" t="inlineStr">
        <is>
          <t>2026-09-12</t>
        </is>
      </c>
    </row>
    <row r="333">
      <c r="A333" t="inlineStr">
        <is>
          <t>2026-09-18</t>
        </is>
      </c>
      <c r="B333" t="inlineStr">
        <is>
          <t>FinTech</t>
        </is>
      </c>
      <c r="C333" t="inlineStr">
        <is>
          <t>Technology &amp; AI</t>
        </is>
      </c>
      <c r="D333" t="inlineStr">
        <is>
          <t>Global</t>
        </is>
      </c>
      <c r="E333" t="inlineStr">
        <is>
          <t>Embedded-finance player Parafin extends reach into auto dealer software</t>
        </is>
      </c>
      <c r="F333" t="inlineStr">
        <is>
          <t>Parafin partnered with dealer-technology provider Tekion to embed its Pay Over Time financing product into Tekion Pay, letting auto dealerships split business invoices into biweekly installments instead of paying upfront.</t>
        </is>
      </c>
      <c r="G333" t="inlineStr">
        <is>
          <t>FinTech Global</t>
        </is>
      </c>
      <c r="H333" t="inlineStr">
        <is>
          <t>https://fintech.global/2026/09/11/parafin-expands-embedded-finance-with-tekion-partnership/</t>
        </is>
      </c>
      <c r="I333" t="inlineStr">
        <is>
          <t>2026-09-11</t>
        </is>
      </c>
    </row>
    <row r="334">
      <c r="A334" t="inlineStr">
        <is>
          <t>2026-09-18</t>
        </is>
      </c>
      <c r="B334" t="inlineStr">
        <is>
          <t>Healthcare / Provider &amp; Clinical</t>
        </is>
      </c>
      <c r="C334" t="inlineStr">
        <is>
          <t>Market Economics</t>
        </is>
      </c>
      <c r="D334" t="inlineStr">
        <is>
          <t>United States</t>
        </is>
      </c>
      <c r="E334" t="inlineStr">
        <is>
          <t>Health systems keep cutting jobs as Medicaid reimbursement pressure bites</t>
        </is>
      </c>
      <c r="F334" t="inlineStr">
        <is>
          <t>UMass Memorial Health's Community Healthlink division moved to lay off 231 positions and close programs effective September 16, part of a wider 2026 wave of health-system job cuts driven by reduced Medicaid reimbursement and rising uncompensated care costs.</t>
        </is>
      </c>
      <c r="G334" t="inlineStr">
        <is>
          <t>Becker's Hospital Review</t>
        </is>
      </c>
      <c r="H334" t="inlineStr">
        <is>
          <t>https://www.beckershospitalreview.com/finance/the-hospitals-health-systems-cutting-jobs-in-2026/</t>
        </is>
      </c>
      <c r="I334" t="inlineStr">
        <is>
          <t>2026-09-16</t>
        </is>
      </c>
    </row>
    <row r="335">
      <c r="A335" t="inlineStr">
        <is>
          <t>2026-09-19</t>
        </is>
      </c>
      <c r="B335" t="inlineStr">
        <is>
          <t>Retirement</t>
        </is>
      </c>
      <c r="C335" t="inlineStr">
        <is>
          <t>Market Economics</t>
        </is>
      </c>
      <c r="D335" t="inlineStr">
        <is>
          <t>United States</t>
        </is>
      </c>
      <c r="E335" t="inlineStr">
        <is>
          <t>US retirement assets climb to $51.2 trillion as markets rally in Q2 2026</t>
        </is>
      </c>
      <c r="F335" t="inlineStr">
        <is>
          <t>The Investment Company Institute's latest quarterly data shows total US retirement assets rose 7.9% from March to reach $51.2 trillion by June 30, 2026, with $10.8 trillion held specifically in 401(k) plans.</t>
        </is>
      </c>
      <c r="G335" t="inlineStr">
        <is>
          <t>Investment Company Institute</t>
        </is>
      </c>
      <c r="H335" t="inlineStr">
        <is>
          <t>https://www.ici.org/statistical-report/ret_26_q2</t>
        </is>
      </c>
      <c r="I335" t="inlineStr">
        <is>
          <t>2026-09-01</t>
        </is>
      </c>
    </row>
    <row r="336">
      <c r="A336" t="inlineStr">
        <is>
          <t>2026-09-19</t>
        </is>
      </c>
      <c r="B336" t="inlineStr">
        <is>
          <t>Retirement</t>
        </is>
      </c>
      <c r="C336" t="inlineStr">
        <is>
          <t>Regulatory &amp; Policy</t>
        </is>
      </c>
      <c r="D336" t="inlineStr">
        <is>
          <t>United States</t>
        </is>
      </c>
      <c r="E336" t="inlineStr">
        <is>
          <t>Rick Case Enterprises settles 401(k) class action over recordkeeper transition losses</t>
        </is>
      </c>
      <c r="F336" t="inlineStr">
        <is>
          <t>Rick Case Enterprises has agreed to settle a proposed class action brought by 401(k) participants who alleged they lost significant retirement savings when the company changed recordkeepers.</t>
        </is>
      </c>
      <c r="G336" t="inlineStr">
        <is>
          <t>USA Herald</t>
        </is>
      </c>
      <c r="H336" t="inlineStr">
        <is>
          <t>https://usaherald.com/rick-case-401k-settlement-ends-fight-over-vanished-retirement-savings/</t>
        </is>
      </c>
      <c r="I336" t="inlineStr">
        <is>
          <t>2026-09-12</t>
        </is>
      </c>
    </row>
    <row r="337">
      <c r="A337" t="inlineStr">
        <is>
          <t>2026-09-19</t>
        </is>
      </c>
      <c r="B337" t="inlineStr">
        <is>
          <t>Wealth Management</t>
        </is>
      </c>
      <c r="C337" t="inlineStr">
        <is>
          <t>M&amp;A</t>
        </is>
      </c>
      <c r="D337" t="inlineStr">
        <is>
          <t>United States</t>
        </is>
      </c>
      <c r="E337" t="inlineStr">
        <is>
          <t>Hightower, Carson Group and AlphaCore extend record-setting RIA dealmaking spree</t>
        </is>
      </c>
      <c r="F337" t="inlineStr">
        <is>
          <t>Hightower's Signature Wealth unit added a $1.6 billion Boston-area firm, Carson Group closed a 50-office deal with Elios Financial Group, and AlphaCore launched a family-office unit via a $5 billion acquisition, part of what is shaping up to be a record year for RIA M&amp;A.</t>
        </is>
      </c>
      <c r="G337" t="inlineStr">
        <is>
          <t>BriefGlance</t>
        </is>
      </c>
      <c r="H337" t="inlineStr">
        <is>
          <t>https://briefglance.com/articles/ria-ma-frenzy-shatters-records-reshaping-wealth-management</t>
        </is>
      </c>
      <c r="I337" t="inlineStr">
        <is>
          <t>2026-09-10</t>
        </is>
      </c>
    </row>
    <row r="338">
      <c r="A338" t="inlineStr">
        <is>
          <t>2026-09-19</t>
        </is>
      </c>
      <c r="B338" t="inlineStr">
        <is>
          <t>Wealth Management</t>
        </is>
      </c>
      <c r="C338" t="inlineStr">
        <is>
          <t>Investments &amp; Funding</t>
        </is>
      </c>
      <c r="D338" t="inlineStr">
        <is>
          <t>United States</t>
        </is>
      </c>
      <c r="E338" t="inlineStr">
        <is>
          <t>AI wealth-transfer platform Luminary raises $22 million Series A</t>
        </is>
      </c>
      <c r="F338" t="inlineStr">
        <is>
          <t>Luminary, which turns static estate-planning documents into structured data for advisors and trust companies, raised a $22 million Series A led by Ten Coves Capital, bringing total funding to nearly $32 million and supporting more than $500 billion in client assets.</t>
        </is>
      </c>
      <c r="G338" t="inlineStr">
        <is>
          <t>Crowdfund Insider</t>
        </is>
      </c>
      <c r="H338" t="inlineStr">
        <is>
          <t>https://www.crowdfundinsider.com/2026/09/309965-luminary-raises-22-million-to-expand-ai-platform-for-wealth-transfer/</t>
        </is>
      </c>
      <c r="I338" t="inlineStr">
        <is>
          <t>2026-09-10</t>
        </is>
      </c>
    </row>
    <row r="339">
      <c r="A339" t="inlineStr">
        <is>
          <t>2026-09-19</t>
        </is>
      </c>
      <c r="B339" t="inlineStr">
        <is>
          <t>TPA</t>
        </is>
      </c>
      <c r="C339" t="inlineStr">
        <is>
          <t>M&amp;A</t>
        </is>
      </c>
      <c r="D339" t="inlineStr">
        <is>
          <t>United States</t>
        </is>
      </c>
      <c r="E339" t="inlineStr">
        <is>
          <t>Charles Taylor acquires Ohio-based third-party administrator Matrix Companies</t>
        </is>
      </c>
      <c r="F339" t="inlineStr">
        <is>
          <t>Global claims and TPA services provider Charles Taylor has acquired the Matrix Companies, an Ohio-based third-party administrator, expanding its US claims-handling footprint.</t>
        </is>
      </c>
      <c r="G339" t="inlineStr">
        <is>
          <t>InsuranceNewsNet</t>
        </is>
      </c>
      <c r="H339" t="inlineStr">
        <is>
          <t>https://insurancenewsnet.com/oarticle/charles-taylor-acquires-ohio-based-third-party-administrator-the-matrix-companies</t>
        </is>
      </c>
      <c r="I339" t="inlineStr">
        <is>
          <t>2026-09-05</t>
        </is>
      </c>
    </row>
    <row r="340">
      <c r="A340" t="inlineStr">
        <is>
          <t>2026-09-19</t>
        </is>
      </c>
      <c r="B340" t="inlineStr">
        <is>
          <t>TPA</t>
        </is>
      </c>
      <c r="C340" t="inlineStr">
        <is>
          <t>M&amp;A</t>
        </is>
      </c>
      <c r="D340" t="inlineStr">
        <is>
          <t>United States</t>
        </is>
      </c>
      <c r="E340" t="inlineStr">
        <is>
          <t>TRISTAR expands with acquisition of New Jersey third-party administrator</t>
        </is>
      </c>
      <c r="F340" t="inlineStr">
        <is>
          <t>Claims and risk-management firm TRISTAR is acquiring a New Jersey-based third-party administrator, continuing the wave of consolidation among regional TPA and claims-services firms.</t>
        </is>
      </c>
      <c r="G340" t="inlineStr">
        <is>
          <t>Business Insurance</t>
        </is>
      </c>
      <c r="H340" t="inlineStr">
        <is>
          <t>https://www.businessinsurance.com/TRISTAR-buying-New-Jersey-based-third-party-administrator/</t>
        </is>
      </c>
      <c r="I340" t="inlineStr">
        <is>
          <t>2026-09-08</t>
        </is>
      </c>
    </row>
    <row r="341">
      <c r="A341" t="inlineStr">
        <is>
          <t>2026-09-19</t>
        </is>
      </c>
      <c r="B341" t="inlineStr">
        <is>
          <t>TPA</t>
        </is>
      </c>
      <c r="C341" t="inlineStr">
        <is>
          <t>M&amp;A</t>
        </is>
      </c>
      <c r="D341" t="inlineStr">
        <is>
          <t>Global</t>
        </is>
      </c>
      <c r="E341" t="inlineStr">
        <is>
          <t>Davies strikes strategic claims partnership with Brown &amp; Brown in North America</t>
        </is>
      </c>
      <c r="F341" t="inlineStr">
        <is>
          <t>Claims and services group Davies has signed a deal with Brown &amp; Brown adding new claims and services capabilities to its North America business, establishing a long-term strategic partnership between the two firms.</t>
        </is>
      </c>
      <c r="G341" t="inlineStr">
        <is>
          <t>Davies Group</t>
        </is>
      </c>
      <c r="H341" t="inlineStr">
        <is>
          <t>https://davies-group.com/knowledge/davies-inks-deal-with-brown-brown-adding-new-claims-and-services-capabilities-to-north-america-business-establishes-long-term-strategic-partnership/</t>
        </is>
      </c>
      <c r="I341" t="inlineStr">
        <is>
          <t>2026-09-10</t>
        </is>
      </c>
    </row>
    <row r="342">
      <c r="A342" t="inlineStr">
        <is>
          <t>2026-09-19</t>
        </is>
      </c>
      <c r="B342" t="inlineStr">
        <is>
          <t>FinTech</t>
        </is>
      </c>
      <c r="C342" t="inlineStr">
        <is>
          <t>Investments &amp; Funding</t>
        </is>
      </c>
      <c r="D342" t="inlineStr">
        <is>
          <t>Global</t>
        </is>
      </c>
      <c r="E342" t="inlineStr">
        <is>
          <t>Fintech dealmaking stays hot with $850 million raised in a single week</t>
        </is>
      </c>
      <c r="F342" t="inlineStr">
        <is>
          <t>A separate FinTech Global roundup tallied more than $850 million raised across fintech financings in the week of September 18, 2026, reflecting continued investor appetite for the sector.</t>
        </is>
      </c>
      <c r="G342" t="inlineStr">
        <is>
          <t>FinTech Global</t>
        </is>
      </c>
      <c r="H342" t="inlineStr">
        <is>
          <t>https://fintech.global/2026/09/18/strong-week-for-fintech-sees-over-850m-raised-across-deals/</t>
        </is>
      </c>
      <c r="I342" t="inlineStr">
        <is>
          <t>2026-09-18</t>
        </is>
      </c>
    </row>
    <row r="343">
      <c r="A343" t="inlineStr">
        <is>
          <t>2026-09-19</t>
        </is>
      </c>
      <c r="B343" t="inlineStr">
        <is>
          <t>Healthcare / Provider &amp; Clinical</t>
        </is>
      </c>
      <c r="C343" t="inlineStr">
        <is>
          <t>M&amp;A</t>
        </is>
      </c>
      <c r="D343" t="inlineStr">
        <is>
          <t>United States</t>
        </is>
      </c>
      <c r="E343" t="inlineStr">
        <is>
          <t>Sanford Health and North Memorial Health complete merger, pledge $600 million Minnesota investment</t>
        </is>
      </c>
      <c r="F343" t="inlineStr">
        <is>
          <t>The two nonprofit systems finalized their combination on September 1, 2026, with Sanford Health committing more than $600 million to expand Maple Grove Hospital and modernize Robbinsdale Hospital, whose Level I trauma center status is guaranteed for at least a decade.</t>
        </is>
      </c>
      <c r="G343" t="inlineStr">
        <is>
          <t>Healthcare Finance News</t>
        </is>
      </c>
      <c r="H343" t="inlineStr">
        <is>
          <t>https://www.healthcarefinancenews.com/news/sanford-health-and-north-memorial-health-finalize-partnership</t>
        </is>
      </c>
      <c r="I343" t="inlineStr">
        <is>
          <t>2026-09-01</t>
        </is>
      </c>
    </row>
    <row r="344">
      <c r="A344" t="inlineStr">
        <is>
          <t>2026-09-19</t>
        </is>
      </c>
      <c r="B344" t="inlineStr">
        <is>
          <t>Wealth Management</t>
        </is>
      </c>
      <c r="C344" t="inlineStr">
        <is>
          <t>M&amp;A</t>
        </is>
      </c>
      <c r="D344" t="inlineStr">
        <is>
          <t>India</t>
        </is>
      </c>
      <c r="E344" t="inlineStr">
        <is>
          <t>Indian Bank eyes insurance and mutual fund partnerships, plans wealth management launch</t>
        </is>
      </c>
      <c r="F344" t="inlineStr">
        <is>
          <t>Indian Bank is exploring partnerships to enter the insurance and mutual fund businesses within 1.5 to 2 years and plans to launch wealth management services in the second half of FY27.</t>
        </is>
      </c>
      <c r="G344" t="inlineStr">
        <is>
          <t>Angel One</t>
        </is>
      </c>
      <c r="H344" t="inlineStr">
        <is>
          <t>https://www.angelone.in/news/stocks/indian-bank-share-price-in-focus-eyes-partnerships-for-insurance-and-mutual-fund-ventures</t>
        </is>
      </c>
      <c r="I344" t="inlineStr">
        <is>
          <t>2026-09-01</t>
        </is>
      </c>
    </row>
    <row r="345">
      <c r="A345" t="inlineStr">
        <is>
          <t>2026-09-19</t>
        </is>
      </c>
      <c r="B345" t="inlineStr">
        <is>
          <t>Insurtech</t>
        </is>
      </c>
      <c r="C345" t="inlineStr">
        <is>
          <t>Technology &amp; AI</t>
        </is>
      </c>
      <c r="D345" t="inlineStr">
        <is>
          <t>APAC</t>
        </is>
      </c>
      <c r="E345" t="inlineStr">
        <is>
          <t>FinTech Innovation Lab Asia-Pacific names 2026 cohort of eight startups</t>
        </is>
      </c>
      <c r="F345" t="inlineStr">
        <is>
          <t>The 13th edition of the FinTech Innovation Lab Asia-Pacific selected eight technology companies, including climate-underwriting startup WeavAir, to work directly with major banks and insurers across the region.</t>
        </is>
      </c>
      <c r="G345" t="inlineStr">
        <is>
          <t>FinTech Innovation Lab</t>
        </is>
      </c>
      <c r="H345" t="inlineStr">
        <is>
          <t>https://www.fintechinnovationlab.com/news/asia-pacific/fintech-innovation-lab-asia-pacific-announces-2026-cohort/</t>
        </is>
      </c>
      <c r="I345" t="inlineStr">
        <is>
          <t>2026-09-10</t>
        </is>
      </c>
    </row>
    <row r="346">
      <c r="A346" t="inlineStr">
        <is>
          <t>2026-09-19</t>
        </is>
      </c>
      <c r="B346" t="inlineStr">
        <is>
          <t>FinTech</t>
        </is>
      </c>
      <c r="C346" t="inlineStr">
        <is>
          <t>Technology &amp; AI</t>
        </is>
      </c>
      <c r="D346" t="inlineStr">
        <is>
          <t>APAC</t>
        </is>
      </c>
      <c r="E346" t="inlineStr">
        <is>
          <t>Identity verification firm Jumio expands reusable digital ID into Asia-Pacific</t>
        </is>
      </c>
      <c r="F346" t="inlineStr">
        <is>
          <t>Jumio extended its reusable identity solution, selfie.DONE, into the Asia-Pacific region on September 15, 2026, as regional financial institutions push to streamline onboarding and compliance.</t>
        </is>
      </c>
      <c r="G346" t="inlineStr">
        <is>
          <t>FinTech Global</t>
        </is>
      </c>
      <c r="H346" t="inlineStr">
        <is>
          <t>https://fintech.global/2026/09/15/jumio-pushes-reusable-identity-as-apac-stakes-rise/</t>
        </is>
      </c>
      <c r="I346" t="inlineStr">
        <is>
          <t>2026-09-15</t>
        </is>
      </c>
    </row>
    <row r="347">
      <c r="A347" t="inlineStr">
        <is>
          <t>2026-09-19</t>
        </is>
      </c>
      <c r="B347" t="inlineStr">
        <is>
          <t>Life &amp; Annuities</t>
        </is>
      </c>
      <c r="C347" t="inlineStr">
        <is>
          <t>People &amp; Leadership</t>
        </is>
      </c>
      <c r="D347" t="inlineStr">
        <is>
          <t>APAC</t>
        </is>
      </c>
      <c r="E347" t="inlineStr">
        <is>
          <t>Allianz Trade names new China CEO as Asia-Pacific leadership shuffles continue</t>
        </is>
      </c>
      <c r="F347" t="inlineStr">
        <is>
          <t>Allianz Trade appointed Scott Munafo as its China CEO effective September 1, 2026, part of a string of senior Asia-Pacific leadership moves across the region's insurers this month, including a new chief underwriting officer at MSIG Hong Kong.</t>
        </is>
      </c>
      <c r="G347" t="inlineStr">
        <is>
          <t>The Insurer</t>
        </is>
      </c>
      <c r="H347" t="inlineStr">
        <is>
          <t>https://www.theinsurer.com/ti/news/on-the-move-this-weeks-round-up-2026-09-04/</t>
        </is>
      </c>
      <c r="I347" t="inlineStr">
        <is>
          <t>2026-09-04</t>
        </is>
      </c>
    </row>
    <row r="348">
      <c r="A348" t="inlineStr">
        <is>
          <t>2026-09-19</t>
        </is>
      </c>
      <c r="B348" t="inlineStr">
        <is>
          <t>Property &amp; Casualty</t>
        </is>
      </c>
      <c r="C348" t="inlineStr">
        <is>
          <t>Regulatory &amp; Policy</t>
        </is>
      </c>
      <c r="D348" t="inlineStr">
        <is>
          <t>United States</t>
        </is>
      </c>
      <c r="E348" t="inlineStr">
        <is>
          <t>NAIC working group begins overhaul of market conduct regulation</t>
        </is>
      </c>
      <c r="F348" t="inlineStr">
        <is>
          <t>State insurance regulators' new Market Conduct Regulation Modernization Working Group is collecting broad industry input through 2026, aiming to deliver actionable recommendations on modernizing market-conduct oversight by year-end.</t>
        </is>
      </c>
      <c r="G348" t="inlineStr">
        <is>
          <t>NAIC</t>
        </is>
      </c>
      <c r="H348" t="inlineStr">
        <is>
          <t>https://content.naic.org/article/state-insurance-regulators-look-future-market-conduct-regulation</t>
        </is>
      </c>
      <c r="I348" t="inlineStr">
        <is>
          <t>2026-09-01</t>
        </is>
      </c>
    </row>
    <row r="349">
      <c r="A349" t="inlineStr">
        <is>
          <t>2026-09-20</t>
        </is>
      </c>
      <c r="B349" t="inlineStr">
        <is>
          <t>Property &amp; Casualty</t>
        </is>
      </c>
      <c r="C349" t="inlineStr">
        <is>
          <t>Market Economics</t>
        </is>
      </c>
      <c r="D349" t="inlineStr">
        <is>
          <t>United States</t>
        </is>
      </c>
      <c r="E349" t="inlineStr">
        <is>
          <t>US cyber insurance pricing stays soft even as third-party claims climb</t>
        </is>
      </c>
      <c r="F349" t="inlineStr">
        <is>
          <t>US cyber insurance premiums were roughly flat through the first part of 2026 after a long run of rate cuts, but a roughly 30% rise in third-party claims is pressuring loss ratios and clouding the outlook for insurers.</t>
        </is>
      </c>
      <c r="G349" t="inlineStr">
        <is>
          <t>Insurance Journal</t>
        </is>
      </c>
      <c r="H349" t="inlineStr">
        <is>
          <t>https://www.insurancejournal.com/magazines/mag-features/2026/07/27/878813.htm</t>
        </is>
      </c>
      <c r="I349" t="inlineStr">
        <is>
          <t>2026-07-27</t>
        </is>
      </c>
    </row>
    <row r="350">
      <c r="A350" t="inlineStr">
        <is>
          <t>2026-09-20</t>
        </is>
      </c>
      <c r="B350" t="inlineStr">
        <is>
          <t>Property &amp; Casualty</t>
        </is>
      </c>
      <c r="C350" t="inlineStr">
        <is>
          <t>Investments &amp; Funding</t>
        </is>
      </c>
      <c r="D350" t="inlineStr">
        <is>
          <t>Global</t>
        </is>
      </c>
      <c r="E350" t="inlineStr">
        <is>
          <t>Zurich returns to the catastrophe bond market with a new closed deal</t>
        </is>
      </c>
      <c r="F350" t="inlineStr">
        <is>
          <t>Zurich successfully closed a new catastrophe bond, marking its return to the cat bond market as insurers continue tapping capital markets for property catastrophe protection amid ample investor appetite.</t>
        </is>
      </c>
      <c r="G350" t="inlineStr">
        <is>
          <t>Zurich Insurance</t>
        </is>
      </c>
      <c r="H350" t="inlineStr">
        <is>
          <t>https://www.zurichna.com/media/news-releases/2026/zurich-closes-catastrophe-bond</t>
        </is>
      </c>
      <c r="I350" t="inlineStr">
        <is>
          <t>2026-09-05</t>
        </is>
      </c>
    </row>
    <row r="351">
      <c r="A351" t="inlineStr">
        <is>
          <t>2026-09-20</t>
        </is>
      </c>
      <c r="B351" t="inlineStr">
        <is>
          <t>FinTech</t>
        </is>
      </c>
      <c r="C351" t="inlineStr">
        <is>
          <t>Regulatory &amp; Policy</t>
        </is>
      </c>
      <c r="D351" t="inlineStr">
        <is>
          <t>United States</t>
        </is>
      </c>
      <c r="E351" t="inlineStr">
        <is>
          <t>US insurers brace for major ISO general liability form changes</t>
        </is>
      </c>
      <c r="F351" t="inlineStr">
        <is>
          <t>Insurers are preparing operational and pricing adjustments ahead of significant 2026 revisions to ISO's general liability forms, which are expected to reshape coverage language and underwriting workflows industry-wide.</t>
        </is>
      </c>
      <c r="G351" t="inlineStr">
        <is>
          <t>FinTech Global</t>
        </is>
      </c>
      <c r="H351" t="inlineStr">
        <is>
          <t>https://fintech.global/2026/09/17/us-insurers-brace-for-major-2026-iso-gl-changes/</t>
        </is>
      </c>
      <c r="I351" t="inlineStr">
        <is>
          <t>2026-09-17</t>
        </is>
      </c>
    </row>
    <row r="352">
      <c r="A352" t="inlineStr">
        <is>
          <t>2026-09-20</t>
        </is>
      </c>
      <c r="B352" t="inlineStr">
        <is>
          <t>Health Insurance / Payer</t>
        </is>
      </c>
      <c r="C352" t="inlineStr">
        <is>
          <t>Market Economics</t>
        </is>
      </c>
      <c r="D352" t="inlineStr">
        <is>
          <t>United States</t>
        </is>
      </c>
      <c r="E352" t="inlineStr">
        <is>
          <t>Consumers face another sharp jump in health insurance costs heading into 2027</t>
        </is>
      </c>
      <c r="F352" t="inlineStr">
        <is>
          <t>Analysts warn that health insurance costs are set to rise steeply again in 2027 as insurers pass through higher medical trend and the fading of enhanced ACA subsidies, prompting fresh guidance on how households can manage premiums.</t>
        </is>
      </c>
      <c r="G352" t="inlineStr">
        <is>
          <t>Forbes</t>
        </is>
      </c>
      <c r="H352" t="inlineStr">
        <is>
          <t>https://www.forbes.com/sites/jessepines/2026/09/18/health-insurance-will-cost-a-lot-more-in-2027-heres-how-to-pay-less/</t>
        </is>
      </c>
      <c r="I352" t="inlineStr">
        <is>
          <t>2026-09-18</t>
        </is>
      </c>
    </row>
    <row r="353">
      <c r="A353" t="inlineStr">
        <is>
          <t>2026-09-20</t>
        </is>
      </c>
      <c r="B353" t="inlineStr">
        <is>
          <t>Health Insurance / Payer</t>
        </is>
      </c>
      <c r="C353" t="inlineStr">
        <is>
          <t>Market Economics</t>
        </is>
      </c>
      <c r="D353" t="inlineStr">
        <is>
          <t>United States</t>
        </is>
      </c>
      <c r="E353" t="inlineStr">
        <is>
          <t>Major health insurers post strong second-quarter 2026 results as cost trend eases</t>
        </is>
      </c>
      <c r="F353" t="inlineStr">
        <is>
          <t>UnitedHealthcare, Elevance Health and peers reported improving medical cost ratios in Q2 2026, with UnitedHealthcare's medical cost ratio falling from 89.4% to 86.7% and Elevance posting roughly $1.5 billion in quarterly profit, prompting raised full-year guidance.</t>
        </is>
      </c>
      <c r="G353" t="inlineStr">
        <is>
          <t>Whatley Kallas</t>
        </is>
      </c>
      <c r="H353" t="inlineStr">
        <is>
          <t>https://whatleykallas.com/health-insurers-continue-to-report-strong-revenues-and-profits-for-the-second-quarter-2026/</t>
        </is>
      </c>
      <c r="I353" t="inlineStr">
        <is>
          <t>2026-08-05</t>
        </is>
      </c>
    </row>
    <row r="354">
      <c r="A354" t="inlineStr">
        <is>
          <t>2026-09-20</t>
        </is>
      </c>
      <c r="B354" t="inlineStr">
        <is>
          <t>Healthcare / Provider &amp; Clinical</t>
        </is>
      </c>
      <c r="C354" t="inlineStr">
        <is>
          <t>Technology &amp; AI</t>
        </is>
      </c>
      <c r="D354" t="inlineStr">
        <is>
          <t>APAC</t>
        </is>
      </c>
      <c r="E354" t="inlineStr">
        <is>
          <t>Greenfield Asian hospitals build AI-native records systems from the ground up</t>
        </is>
      </c>
      <c r="F354" t="inlineStr">
        <is>
          <t>Singapore's Woodlands Hospital and Taiwan's Taipei Veterans General Hospital are each using unified electronic medical record and interoperability architectures, unencumbered by legacy systems, to push AI use beyond clinical documentation.</t>
        </is>
      </c>
      <c r="G354" t="inlineStr">
        <is>
          <t>Health IT Answers</t>
        </is>
      </c>
      <c r="H354" t="inlineStr">
        <is>
          <t>https://www.healthitanswers.net/ai-in-healthcare-news-and-updates-091626/</t>
        </is>
      </c>
      <c r="I354" t="inlineStr">
        <is>
          <t>2026-09-16</t>
        </is>
      </c>
    </row>
    <row r="355">
      <c r="A355" t="inlineStr">
        <is>
          <t>2026-09-20</t>
        </is>
      </c>
      <c r="B355" t="inlineStr">
        <is>
          <t>Property &amp; Casualty</t>
        </is>
      </c>
      <c r="C355" t="inlineStr">
        <is>
          <t>People &amp; Leadership</t>
        </is>
      </c>
      <c r="D355" t="inlineStr">
        <is>
          <t>United States</t>
        </is>
      </c>
      <c r="E355" t="inlineStr">
        <is>
          <t>AIG's general insurance CEO Lou Hancock to retire at year-end</t>
        </is>
      </c>
      <c r="F355" t="inlineStr">
        <is>
          <t>AIG confirmed that Lou Hancock will step down as chief executive of its general insurance business at the end of 2026, part of a broader wave of senior leadership transition at the carrier this year.</t>
        </is>
      </c>
      <c r="G355" t="inlineStr">
        <is>
          <t>The Insurer</t>
        </is>
      </c>
      <c r="H355" t="inlineStr">
        <is>
          <t>https://www.theinsurer.com/ti/news/aigs-hancock-to-retire-as-general-insurance-ceo-at-year-end-2026-09-16/</t>
        </is>
      </c>
      <c r="I355" t="inlineStr">
        <is>
          <t>2026-09-16</t>
        </is>
      </c>
    </row>
    <row r="356">
      <c r="A356" t="inlineStr">
        <is>
          <t>2026-09-20</t>
        </is>
      </c>
      <c r="B356" t="inlineStr">
        <is>
          <t>Insurtech</t>
        </is>
      </c>
      <c r="C356" t="inlineStr">
        <is>
          <t>Technology &amp; AI</t>
        </is>
      </c>
      <c r="D356" t="inlineStr">
        <is>
          <t>India</t>
        </is>
      </c>
      <c r="E356" t="inlineStr">
        <is>
          <t>Newly licensed Indian insurer Protec taps insureMO to build an AI-native core system</t>
        </is>
      </c>
      <c r="F356" t="inlineStr">
        <is>
          <t>Protec General Insurance, a newly licensed Indian carrier, selected middle-office platform insureMO to build an API-driven, AI-native insurance core as it prepares to scale retail and commercial lines across India.</t>
        </is>
      </c>
      <c r="G356" t="inlineStr">
        <is>
          <t>FinTech Global</t>
        </is>
      </c>
      <c r="H356" t="inlineStr">
        <is>
          <t>https://fintech.global/2026/09/15/protec-taps-insuremo-to-fast-track-india-insurance-push/</t>
        </is>
      </c>
      <c r="I356" t="inlineStr">
        <is>
          <t>2026-09-15</t>
        </is>
      </c>
    </row>
    <row r="357">
      <c r="A357" t="inlineStr">
        <is>
          <t>2026-09-20</t>
        </is>
      </c>
      <c r="B357" t="inlineStr">
        <is>
          <t>Retirement</t>
        </is>
      </c>
      <c r="C357" t="inlineStr">
        <is>
          <t>Investments &amp; Funding</t>
        </is>
      </c>
      <c r="D357" t="inlineStr">
        <is>
          <t>UK/Europe</t>
        </is>
      </c>
      <c r="E357" t="inlineStr">
        <is>
          <t>Apollo launches a private-credit fund aimed at UK defined contribution pension savers</t>
        </is>
      </c>
      <c r="F357" t="inlineStr">
        <is>
          <t>Apollo introduced a long-term asset fund giving UK defined contribution pension schemes semi-liquid access to a private credit portfolio spanning investment-grade, large-cap corporate lending and asset-backed finance.</t>
        </is>
      </c>
      <c r="G357" t="inlineStr">
        <is>
          <t>IPE</t>
        </is>
      </c>
      <c r="H357" t="inlineStr">
        <is>
          <t>https://www.ipe.com/news/apollo-launches-ltaf-for-uk-defined-contribution-pension-funds/10135629.article</t>
        </is>
      </c>
      <c r="I357" t="inlineStr">
        <is>
          <t>2026-09-10</t>
        </is>
      </c>
    </row>
    <row r="358">
      <c r="A358" t="inlineStr">
        <is>
          <t>2026-09-20</t>
        </is>
      </c>
      <c r="B358" t="inlineStr">
        <is>
          <t>Insurtech</t>
        </is>
      </c>
      <c r="C358" t="inlineStr">
        <is>
          <t>Technology &amp; AI</t>
        </is>
      </c>
      <c r="D358" t="inlineStr">
        <is>
          <t>APAC</t>
        </is>
      </c>
      <c r="E358" t="inlineStr">
        <is>
          <t>APAC insurers accelerate technology bets heading into 2026</t>
        </is>
      </c>
      <c r="F358" t="inlineStr">
        <is>
          <t>A regional roundup highlights how APAC insurers are leaning further into digital distribution, automation and AI tooling as they compete for growth in under-penetrated markets across the region.</t>
        </is>
      </c>
      <c r="G358" t="inlineStr">
        <is>
          <t>Insurance Business Magazine</t>
        </is>
      </c>
      <c r="H358" t="inlineStr">
        <is>
          <t>https://www.insurancebusinessmag.com/asia/news/catastrophe/spotlight-the-tech-reshaping-apac-insurance-in-2026-577283.aspx</t>
        </is>
      </c>
      <c r="I358" t="inlineStr">
        <is>
          <t>2026-09-01</t>
        </is>
      </c>
    </row>
    <row r="359">
      <c r="A359" t="inlineStr">
        <is>
          <t>2026-09-21</t>
        </is>
      </c>
      <c r="B359" t="inlineStr">
        <is>
          <t>Life &amp; Annuities</t>
        </is>
      </c>
      <c r="C359" t="inlineStr">
        <is>
          <t>Market Economics</t>
        </is>
      </c>
      <c r="D359" t="inlineStr">
        <is>
          <t>United States</t>
        </is>
      </c>
      <c r="E359" t="inlineStr">
        <is>
          <t>US annuity sales notch another record first half, RILA leads growth</t>
        </is>
      </c>
      <c r="F359" t="inlineStr">
        <is>
          <t>Finalized LIMRA data show second-quarter 2026 US annuity sales around $121 billion (revised down slightly from an initial $123.9B estimate), extending an 11-quarter streak above $100 billion and pushing first-half 2026 sales to a record $231.3 billion, with registered index-linked annuities (RILAs) growing fastest.</t>
        </is>
      </c>
      <c r="G359" t="inlineStr">
        <is>
          <t>InvestmentNews (LIMRA data)</t>
        </is>
      </c>
      <c r="H359" t="inlineStr">
        <is>
          <t>https://www.investmentnews.com/retirement-planning/us-annuity-sales-hit-1212-billion-in-new-first-half-record/268117</t>
        </is>
      </c>
      <c r="I359" t="inlineStr">
        <is>
          <t>2026-09-15</t>
        </is>
      </c>
    </row>
    <row r="360">
      <c r="A360" t="inlineStr">
        <is>
          <t>2026-09-21</t>
        </is>
      </c>
      <c r="B360" t="inlineStr">
        <is>
          <t>Life &amp; Annuities</t>
        </is>
      </c>
      <c r="C360" t="inlineStr">
        <is>
          <t>Investments &amp; Funding</t>
        </is>
      </c>
      <c r="D360" t="inlineStr">
        <is>
          <t>United States</t>
        </is>
      </c>
      <c r="E360" t="inlineStr">
        <is>
          <t>Legacy Marketing and Malibu Life USA team up on new indexed annuity line</t>
        </is>
      </c>
      <c r="F360" t="inlineStr">
        <is>
          <t>Legacy Marketing Group struck a distribution partnership with Malibu Life USA to bring two new fixed indexed annuity products, PillarMark and SpireMark, to market through independent agents starting this month, issued by Malibu's Texas-domiciled carrier TruSpire.</t>
        </is>
      </c>
      <c r="G360" t="inlineStr">
        <is>
          <t>BusinessWire / InsuranceNewsNet</t>
        </is>
      </c>
      <c r="H360" t="inlineStr">
        <is>
          <t>https://www.businesswire.com/news/home/20260825541941/en/Legacy-Marketing-Group-and-Malibu-Life-USA-Announce-Distribution-Partnership-for-New-Fixed-Indexed-Annuity-Platform</t>
        </is>
      </c>
      <c r="I360" t="inlineStr">
        <is>
          <t>2026-08-25</t>
        </is>
      </c>
    </row>
    <row r="361">
      <c r="A361" t="inlineStr">
        <is>
          <t>2026-09-21</t>
        </is>
      </c>
      <c r="B361" t="inlineStr">
        <is>
          <t>Life &amp; Annuities</t>
        </is>
      </c>
      <c r="C361" t="inlineStr">
        <is>
          <t>Regulatory &amp; Policy</t>
        </is>
      </c>
      <c r="D361" t="inlineStr">
        <is>
          <t>India</t>
        </is>
      </c>
      <c r="E361" t="inlineStr">
        <is>
          <t>Indian insurer stocks jump on expected crackdown on distributor commissions</t>
        </is>
      </c>
      <c r="F361" t="inlineStr">
        <is>
          <t>Shares of HDFC Life, ICICI Prudential Life, SBI Life and Max Financial rallied as much as 5% after reports that India's insurance regulator IRDAI is preparing a consultation paper to cap or reduce commissions paid to banks and other distributors, a move investors expect to lower acquisition costs and lift margins.</t>
        </is>
      </c>
      <c r="G361" t="inlineStr">
        <is>
          <t>Business Standard</t>
        </is>
      </c>
      <c r="H361" t="inlineStr">
        <is>
          <t>https://www.business-standard.com/markets/news/insurance-stocks-gain-on-expectations-of-lower-distributor-commissions-126091701302_1.html</t>
        </is>
      </c>
      <c r="I361" t="inlineStr">
        <is>
          <t>2026-09-17</t>
        </is>
      </c>
    </row>
    <row r="362">
      <c r="A362" t="inlineStr">
        <is>
          <t>2026-09-21</t>
        </is>
      </c>
      <c r="B362" t="inlineStr">
        <is>
          <t>Life &amp; Annuities</t>
        </is>
      </c>
      <c r="C362" t="inlineStr">
        <is>
          <t>Technology &amp; AI</t>
        </is>
      </c>
      <c r="D362" t="inlineStr">
        <is>
          <t>Global</t>
        </is>
      </c>
      <c r="E362" t="inlineStr">
        <is>
          <t>State AI-governance rules for insurers reach a tipping point in 2026</t>
        </is>
      </c>
      <c r="F362" t="inlineStr">
        <is>
          <t>Adoption of the NAIC's AI Model Bulletin has spread to roughly 25 US states as of mid-2026, with several more in progress, pushing carriers to build documented AI governance, testing and monitoring programs for underwriting and claims models as a new multistate examiner tool pilots across a dozen states.</t>
        </is>
      </c>
      <c r="G362" t="inlineStr">
        <is>
          <t>AIPMO (Insurance AI Regulation Tracker)</t>
        </is>
      </c>
      <c r="H362" t="inlineStr">
        <is>
          <t>https://aipmo.co/naic-ai-bulletin-q2-2026-status/</t>
        </is>
      </c>
      <c r="I362" t="inlineStr">
        <is>
          <t>2026-07-01</t>
        </is>
      </c>
    </row>
    <row r="363">
      <c r="A363" t="inlineStr">
        <is>
          <t>2026-09-21</t>
        </is>
      </c>
      <c r="B363" t="inlineStr">
        <is>
          <t>Life &amp; Annuities</t>
        </is>
      </c>
      <c r="C363" t="inlineStr">
        <is>
          <t>People &amp; Leadership</t>
        </is>
      </c>
      <c r="D363" t="inlineStr">
        <is>
          <t>UK/Europe</t>
        </is>
      </c>
      <c r="E363" t="inlineStr">
        <is>
          <t>Luxembourg insurer OneLife completes CEO handover</t>
        </is>
      </c>
      <c r="F363" t="inlineStr">
        <is>
          <t>Cross-border life insurer OneLife confirmed Cédric Lootvoet as its new Chief Executive Officer effective September 1, 2026, succeeding Bruno Valersteinas after Lootvoet had spent roughly nine months as Deputy CEO preparing for the transition.</t>
        </is>
      </c>
      <c r="G363" t="inlineStr">
        <is>
          <t>OneLife Newsroom</t>
        </is>
      </c>
      <c r="H363" t="inlineStr">
        <is>
          <t>https://www.onelife.com/en/news/corporate</t>
        </is>
      </c>
      <c r="I363" t="inlineStr">
        <is>
          <t>2026-09-01</t>
        </is>
      </c>
    </row>
    <row r="364">
      <c r="A364" t="inlineStr">
        <is>
          <t>2026-09-21</t>
        </is>
      </c>
      <c r="B364" t="inlineStr">
        <is>
          <t>Retirement</t>
        </is>
      </c>
      <c r="C364" t="inlineStr">
        <is>
          <t>Market Economics</t>
        </is>
      </c>
      <c r="D364" t="inlineStr">
        <is>
          <t>United States</t>
        </is>
      </c>
      <c r="E364" t="inlineStr">
        <is>
          <t>Full plan terminations now drive most pension risk transfer deals</t>
        </is>
      </c>
      <c r="F364" t="inlineStr">
        <is>
          <t>October Three's 2026 PRT Trends survey found plan terminations accounted for two-thirds of pension risk transfer transactions in the first half of 2026, with buy-in premiums up sharply even as total buyout dollar volume cooled from a strong 2025 finish, and carriers reporting less worry about PRT litigation than a year ago.</t>
        </is>
      </c>
      <c r="G364" t="inlineStr">
        <is>
          <t>October Three (via GlobeNewswire)</t>
        </is>
      </c>
      <c r="H364" t="inlineStr">
        <is>
          <t>https://www.globenewswire.com/news-release/2026/09/15/3362041/0/en/pension-plan-terminations-dominate-pension-risk-transfer-deal-flow-in-first-half-of-2026.html</t>
        </is>
      </c>
      <c r="I364" t="inlineStr">
        <is>
          <t>2026-09-15</t>
        </is>
      </c>
    </row>
    <row r="365">
      <c r="A365" t="inlineStr">
        <is>
          <t>2026-09-21</t>
        </is>
      </c>
      <c r="B365" t="inlineStr">
        <is>
          <t>Retirement</t>
        </is>
      </c>
      <c r="C365" t="inlineStr">
        <is>
          <t>Regulatory &amp; Policy</t>
        </is>
      </c>
      <c r="D365" t="inlineStr">
        <is>
          <t>United States</t>
        </is>
      </c>
      <c r="E365" t="inlineStr">
        <is>
          <t>DOL floats safe harbor for putting alternative assets into 401(k) menus</t>
        </is>
      </c>
      <c r="F365" t="inlineStr">
        <is>
          <t>The Department of Labor's proposed rule, issued March 31, 2026 under a 2025 White House executive order, would give plan fiduciaries a six-factor "prudent process" safe harbor for adding private equity, real estate and other alternative investments as 401(k) and 403(b) designated investment options.</t>
        </is>
      </c>
      <c r="G365" t="inlineStr">
        <is>
          <t>Federal Register</t>
        </is>
      </c>
      <c r="H365" t="inlineStr">
        <is>
          <t>https://www.federalregister.gov/documents/2026/03/31/2026-06178/fiduciary-duties-in-selecting-designated-investment-alternatives</t>
        </is>
      </c>
      <c r="I365" t="inlineStr">
        <is>
          <t>2026-03-31</t>
        </is>
      </c>
    </row>
    <row r="366">
      <c r="A366" t="inlineStr">
        <is>
          <t>2026-09-21</t>
        </is>
      </c>
      <c r="B366" t="inlineStr">
        <is>
          <t>Retirement</t>
        </is>
      </c>
      <c r="C366" t="inlineStr">
        <is>
          <t>Market Economics</t>
        </is>
      </c>
      <c r="D366" t="inlineStr">
        <is>
          <t>APAC</t>
        </is>
      </c>
      <c r="E366" t="inlineStr">
        <is>
          <t>Aging Asia-Pacific populations push pension providers toward income-focused products</t>
        </is>
      </c>
      <c r="F366" t="inlineStr">
        <is>
          <t>Amundi's research team flagged that rapidly aging populations in Japan, China, Australia and South Korea are shifting demand from pure accumulation toward decumulation and retirement-income products, as state and workplace pension systems in the region struggle to keep pace.</t>
        </is>
      </c>
      <c r="G366" t="inlineStr">
        <is>
          <t>Amundi Research Center</t>
        </is>
      </c>
      <c r="H366" t="inlineStr">
        <is>
          <t>https://research-center.amundi.com/article/pension-trends-asia-beyond-accumulation</t>
        </is>
      </c>
      <c r="I366" t="inlineStr">
        <is>
          <t>2026-08-01</t>
        </is>
      </c>
    </row>
    <row r="367">
      <c r="A367" t="inlineStr">
        <is>
          <t>2026-09-21</t>
        </is>
      </c>
      <c r="B367" t="inlineStr">
        <is>
          <t>Investments</t>
        </is>
      </c>
      <c r="C367" t="inlineStr">
        <is>
          <t>Technology &amp; AI</t>
        </is>
      </c>
      <c r="D367" t="inlineStr">
        <is>
          <t>United States</t>
        </is>
      </c>
      <c r="E367" t="inlineStr">
        <is>
          <t>Grayscale pushes crypto further into mainstream advisor portfolios</t>
        </is>
      </c>
      <c r="F367" t="inlineStr">
        <is>
          <t>Grayscale rolled out digital-asset model portfolios for financial advisors in mid-September 2026, giving wealth managers a packaged way to add crypto exposure to client accounts as digital assets keep edging into traditional asset-management platforms.</t>
        </is>
      </c>
      <c r="G367" t="inlineStr">
        <is>
          <t>Digital Asset Management News</t>
        </is>
      </c>
      <c r="H367" t="inlineStr">
        <is>
          <t>https://digitalassetmanagementnews.org/</t>
        </is>
      </c>
      <c r="I367" t="inlineStr">
        <is>
          <t>2026-09-16</t>
        </is>
      </c>
    </row>
    <row r="368">
      <c r="A368" t="inlineStr">
        <is>
          <t>2026-09-21</t>
        </is>
      </c>
      <c r="B368" t="inlineStr">
        <is>
          <t>Investments</t>
        </is>
      </c>
      <c r="C368" t="inlineStr">
        <is>
          <t>People &amp; Leadership</t>
        </is>
      </c>
      <c r="D368" t="inlineStr">
        <is>
          <t>UK/Europe</t>
        </is>
      </c>
      <c r="E368" t="inlineStr">
        <is>
          <t>BNP Paribas Asset Management installs four new co-CIOs</t>
        </is>
      </c>
      <c r="F368" t="inlineStr">
        <is>
          <t>BNP Paribas Asset Management named four new Chief Investment Officers, including Guy Davies as Deputy Global Head of Investments and CIO for fundamental active equity and Robinson Rouchié as CIO for systematic and quantitative investments, effective September 1, 2026, reporting to global investments head Rob Gambi as part of the firm's "AMplify 2030" plan.</t>
        </is>
      </c>
      <c r="G368" t="inlineStr">
        <is>
          <t>BNP Paribas Asset Management</t>
        </is>
      </c>
      <c r="H368" t="inlineStr">
        <is>
          <t>https://www.bnpparibas-am.com/en/press/mediaroom-en-bnp-paribas-asset-management-appoints-four-chief-investment-officers-to-lead-its-investment-platform/</t>
        </is>
      </c>
      <c r="I368" t="inlineStr">
        <is>
          <t>2026-09-01</t>
        </is>
      </c>
    </row>
    <row r="369">
      <c r="A369" t="inlineStr">
        <is>
          <t>2026-09-21</t>
        </is>
      </c>
      <c r="B369" t="inlineStr">
        <is>
          <t>Investments</t>
        </is>
      </c>
      <c r="C369" t="inlineStr">
        <is>
          <t>Market Economics</t>
        </is>
      </c>
      <c r="D369" t="inlineStr">
        <is>
          <t>Global</t>
        </is>
      </c>
      <c r="E369" t="inlineStr">
        <is>
          <t>AGF's August AUM snapshot shows steady asset growth</t>
        </is>
      </c>
      <c r="F369" t="inlineStr">
        <is>
          <t>Canadian asset manager AGF reported total assets under management and fee-earning assets of roughly $74.2 billion as of August 31, 2026, offering an early read on how markets and flows treated mid-tier managers heading into the fall.</t>
        </is>
      </c>
      <c r="G369" t="inlineStr">
        <is>
          <t>GlobeNewswire (AGF Management)</t>
        </is>
      </c>
      <c r="H369" t="inlineStr">
        <is>
          <t>https://www.globenewswire.com/news-release/2026/09/03/3356304/0/en/agf-reports-august-2026-assets-under-management-and-fee-earning-assets.html</t>
        </is>
      </c>
      <c r="I369" t="inlineStr">
        <is>
          <t>2026-09-03</t>
        </is>
      </c>
    </row>
    <row r="370">
      <c r="A370" t="inlineStr">
        <is>
          <t>2026-09-21</t>
        </is>
      </c>
      <c r="B370" t="inlineStr">
        <is>
          <t>Wealth Management</t>
        </is>
      </c>
      <c r="C370" t="inlineStr">
        <is>
          <t>Market Economics</t>
        </is>
      </c>
      <c r="D370" t="inlineStr">
        <is>
          <t>India</t>
        </is>
      </c>
      <c r="E370" t="inlineStr">
        <is>
          <t>India's wealth management market on track to more than double by the mid-2030s</t>
        </is>
      </c>
      <c r="F370" t="inlineStr">
        <is>
          <t>India's wealth-management industry is projected to roughly 2.5x to about $436 billion by 2034, fueled by a 90% four-year jump in dollar-millionaire households and mutual fund AUM approaching Rs 78 lakh crore, according to industry estimates cited in early September coverage.</t>
        </is>
      </c>
      <c r="G370" t="inlineStr">
        <is>
          <t>The Hans India</t>
        </is>
      </c>
      <c r="H370" t="inlineStr">
        <is>
          <t>https://www.thehansindia.com/business/market-compass/indias-wealthmanagement-sector-likely-to-surge-over-2-fold-to-436-billion-by-2034-1123176</t>
        </is>
      </c>
      <c r="I370" t="inlineStr">
        <is>
          <t>2026-09-10</t>
        </is>
      </c>
    </row>
    <row r="371">
      <c r="A371" t="inlineStr">
        <is>
          <t>2026-09-21</t>
        </is>
      </c>
      <c r="B371" t="inlineStr">
        <is>
          <t>Wealth Management</t>
        </is>
      </c>
      <c r="C371" t="inlineStr">
        <is>
          <t>Regulatory &amp; Policy</t>
        </is>
      </c>
      <c r="D371" t="inlineStr">
        <is>
          <t>United States</t>
        </is>
      </c>
      <c r="E371" t="inlineStr">
        <is>
          <t>SEC pushes forward on adviser recordkeeping and fiduciary-conduct rulemaking</t>
        </is>
      </c>
      <c r="F371" t="inlineStr">
        <is>
          <t>The SEC published a proposed rule amendment in the Federal Register on September 10 updating books-and-records requirements for investment advisers, part of a broader FY2026 exam agenda emphasizing fiduciary standards, conflict-of-interest disclosure and Regulation S-P cybersecurity compliance.</t>
        </is>
      </c>
      <c r="G371" t="inlineStr">
        <is>
          <t>Federal Register / SEC</t>
        </is>
      </c>
      <c r="H371" t="inlineStr">
        <is>
          <t>https://www.sec.gov/files/rules/proposed/2026/ia-6994.pdf</t>
        </is>
      </c>
      <c r="I371" t="inlineStr">
        <is>
          <t>2026-09-10</t>
        </is>
      </c>
    </row>
    <row r="372">
      <c r="A372" t="inlineStr">
        <is>
          <t>2026-09-21</t>
        </is>
      </c>
      <c r="B372" t="inlineStr">
        <is>
          <t>Wealth Management</t>
        </is>
      </c>
      <c r="C372" t="inlineStr">
        <is>
          <t>People &amp; Leadership</t>
        </is>
      </c>
      <c r="D372" t="inlineStr">
        <is>
          <t>United States</t>
        </is>
      </c>
      <c r="E372" t="inlineStr">
        <is>
          <t>Chicago RIA Choreo taps another Edelman veteran for newly created executive post</t>
        </is>
      </c>
      <c r="F372" t="inlineStr">
        <is>
          <t>Choreo named Kelly O'Donnell as its first chief people and transformation officer, marking the fourth Edelman Financial Engines alum hired into a C-suite role at the RIA in about a year; she will oversee HR, brand and the integration of acquired firms.</t>
        </is>
      </c>
      <c r="G372" t="inlineStr">
        <is>
          <t>InvestmentNews</t>
        </is>
      </c>
      <c r="H372" t="inlineStr">
        <is>
          <t>https://www.investmentnews.com/ria-news/choreo-hires-another-edelman-alum-to-newly-created-c-suite-role/268195</t>
        </is>
      </c>
      <c r="I372" t="inlineStr">
        <is>
          <t>2026-09-16</t>
        </is>
      </c>
    </row>
    <row r="373">
      <c r="A373" t="inlineStr">
        <is>
          <t>2026-09-21</t>
        </is>
      </c>
      <c r="B373" t="inlineStr">
        <is>
          <t>Property &amp; Casualty</t>
        </is>
      </c>
      <c r="C373" t="inlineStr">
        <is>
          <t>M&amp;A</t>
        </is>
      </c>
      <c r="D373" t="inlineStr">
        <is>
          <t>United States</t>
        </is>
      </c>
      <c r="E373" t="inlineStr">
        <is>
          <t>Mapfre's buyout of Safety Insurance clears key antitrust hurdle</t>
        </is>
      </c>
      <c r="F373" t="inlineStr">
        <is>
          <t>The regulatory waiting period on Mapfre's acquisition of Safety Insurance Group expired on September 14, clearing the way for Safety to become a wholly owned Mapfre subsidiary after shareholder materials were mailed the same week.</t>
        </is>
      </c>
      <c r="G373" t="inlineStr">
        <is>
          <t>SEC filing (Safety Insurance Group 8-K/DEFA14A)</t>
        </is>
      </c>
      <c r="H373" t="inlineStr">
        <is>
          <t>https://www.sec.gov/Archives/edgar/data/0001172052/000110465926107960/tm2625481d1_8k.htm</t>
        </is>
      </c>
      <c r="I373" t="inlineStr">
        <is>
          <t>2026-09-14</t>
        </is>
      </c>
    </row>
    <row r="374">
      <c r="A374" t="inlineStr">
        <is>
          <t>2026-09-21</t>
        </is>
      </c>
      <c r="B374" t="inlineStr">
        <is>
          <t>Property &amp; Casualty</t>
        </is>
      </c>
      <c r="C374" t="inlineStr">
        <is>
          <t>Market Economics</t>
        </is>
      </c>
      <c r="D374" t="inlineStr">
        <is>
          <t>United States</t>
        </is>
      </c>
      <c r="E374" t="inlineStr">
        <is>
          <t>US P&amp;C insurers post stronger profits even as premium growth cools sharply</t>
        </is>
      </c>
      <c r="F374" t="inlineStr">
        <is>
          <t>Industry-wide net underwriting gains more than doubled to $31.7 billion in the first half of 2026, even as net written premium growth slowed to about 2.1% from 5.2% a year earlier, with personal auto and commercial property rates softening while liability and casualty losses kept worsening.</t>
        </is>
      </c>
      <c r="G374" t="inlineStr">
        <is>
          <t>The Insurer (citing APCIA)</t>
        </is>
      </c>
      <c r="H374" t="inlineStr">
        <is>
          <t>https://www.theinsurer.com/ti/news/pc-underwriting-gains-improve-in-h1-2026-but-casualty-concerns-remain-new-apcia-2026-09-02/</t>
        </is>
      </c>
      <c r="I374" t="inlineStr">
        <is>
          <t>2026-09-02</t>
        </is>
      </c>
    </row>
    <row r="375">
      <c r="A375" t="inlineStr">
        <is>
          <t>2026-09-21</t>
        </is>
      </c>
      <c r="B375" t="inlineStr">
        <is>
          <t>Brokers &amp; MGA/GA</t>
        </is>
      </c>
      <c r="C375" t="inlineStr">
        <is>
          <t>M&amp;A</t>
        </is>
      </c>
      <c r="D375" t="inlineStr">
        <is>
          <t>UK/Europe</t>
        </is>
      </c>
      <c r="E375" t="inlineStr">
        <is>
          <t>UK consolidator Clear Group buys specialist Lloyd's wholesale broker</t>
        </is>
      </c>
      <c r="F375" t="inlineStr">
        <is>
          <t>Clear Group acquired Newman Pearce &amp; Partners, a 24-person Lloyd's wholesale broker whose revenue grew from about £5m to £7m in the past year, as part of Clear's push to deepen its London market wholesale broking presence.</t>
        </is>
      </c>
      <c r="G375" t="inlineStr">
        <is>
          <t>Insurance Times</t>
        </is>
      </c>
      <c r="H375" t="inlineStr">
        <is>
          <t>https://www.insurancetimes.co.uk/news/clear-group-acquires-lloyds-wholesale-broker/1459457.article</t>
        </is>
      </c>
      <c r="I375" t="inlineStr">
        <is>
          <t>2026-08-24</t>
        </is>
      </c>
    </row>
    <row r="376">
      <c r="A376" t="inlineStr">
        <is>
          <t>2026-09-21</t>
        </is>
      </c>
      <c r="B376" t="inlineStr">
        <is>
          <t>Brokers &amp; MGA/GA</t>
        </is>
      </c>
      <c r="C376" t="inlineStr">
        <is>
          <t>Technology &amp; AI</t>
        </is>
      </c>
      <c r="D376" t="inlineStr">
        <is>
          <t>Global</t>
        </is>
      </c>
      <c r="E376" t="inlineStr">
        <is>
          <t>Specialty insurer Mosaic rolls out AI-driven underwriting platform for SMEs</t>
        </is>
      </c>
      <c r="F376" t="inlineStr">
        <is>
          <t>Mosaic Insurance launched a digital underwriting system called HALO that combines broker trading activity, underwriting decisions and portfolio outcomes in one environment, aimed at speeding up delivery of complex specialty products to small and midsize business customers.</t>
        </is>
      </c>
      <c r="G376" t="inlineStr">
        <is>
          <t>Insurance Journal</t>
        </is>
      </c>
      <c r="H376" t="inlineStr">
        <is>
          <t>https://www.insurancejournal.com/news/international/2026/09/21/886203.htm</t>
        </is>
      </c>
      <c r="I376" t="inlineStr">
        <is>
          <t>2026-09-21</t>
        </is>
      </c>
    </row>
    <row r="377">
      <c r="A377" t="inlineStr">
        <is>
          <t>2026-09-21</t>
        </is>
      </c>
      <c r="B377" t="inlineStr">
        <is>
          <t>Brokers &amp; MGA/GA</t>
        </is>
      </c>
      <c r="C377" t="inlineStr">
        <is>
          <t>Market Economics</t>
        </is>
      </c>
      <c r="D377" t="inlineStr">
        <is>
          <t>APAC</t>
        </is>
      </c>
      <c r="E377" t="inlineStr">
        <is>
          <t>Asia-Pacific insurance dealmaking cools even as India and Malaysia buck the trend</t>
        </is>
      </c>
      <c r="F377" t="inlineStr">
        <is>
          <t>Broader M&amp;A activity across Asia-Pacific's insurance and broking sector slowed in the second quarter of 2026, even as India and Malaysia each recorded major multi-million-dollar transactions, underscoring uneven momentum across the region's markets.</t>
        </is>
      </c>
      <c r="G377" t="inlineStr">
        <is>
          <t>beinsure.com</t>
        </is>
      </c>
      <c r="H377" t="inlineStr">
        <is>
          <t>https://beinsure.com/news/asia-pacific-insurance-ma-slows/</t>
        </is>
      </c>
      <c r="I377" t="inlineStr">
        <is>
          <t>2026-08-15</t>
        </is>
      </c>
    </row>
    <row r="378">
      <c r="A378" t="inlineStr">
        <is>
          <t>2026-09-21</t>
        </is>
      </c>
      <c r="B378" t="inlineStr">
        <is>
          <t>Brokers &amp; MGA/GA</t>
        </is>
      </c>
      <c r="C378" t="inlineStr">
        <is>
          <t>People &amp; Leadership</t>
        </is>
      </c>
      <c r="D378" t="inlineStr">
        <is>
          <t>Global</t>
        </is>
      </c>
      <c r="E378" t="inlineStr">
        <is>
          <t>Marsh names new global chief claims officer as it reshuffles claims leadership</t>
        </is>
      </c>
      <c r="F378" t="inlineStr">
        <is>
          <t>Marsh Risk appointed Chetna Gulati-Kapoor, a 20-year claims veteran who trained as a solicitor in India and the UK, as global chief claims officer effective September 1, succeeding Rob Powell, who moves up to chairman of global claims.</t>
        </is>
      </c>
      <c r="G378" t="inlineStr">
        <is>
          <t>The Insurer</t>
        </is>
      </c>
      <c r="H378" t="inlineStr">
        <is>
          <t>https://www.theinsurer.com/ti/news/marsh-risk-names-gulati-kapoor-global-chief-claims-officer-2026-08-13/</t>
        </is>
      </c>
      <c r="I378" t="inlineStr">
        <is>
          <t>2026-08-13</t>
        </is>
      </c>
    </row>
    <row r="379">
      <c r="A379" t="inlineStr">
        <is>
          <t>2026-09-21</t>
        </is>
      </c>
      <c r="B379" t="inlineStr">
        <is>
          <t>TPA</t>
        </is>
      </c>
      <c r="C379" t="inlineStr">
        <is>
          <t>People &amp; Leadership</t>
        </is>
      </c>
      <c r="D379" t="inlineStr">
        <is>
          <t>United States</t>
        </is>
      </c>
      <c r="E379" t="inlineStr">
        <is>
          <t>AI-native claims TPA Elysian bolsters leadership with new claims strategy chief</t>
        </is>
      </c>
      <c r="F379" t="inlineStr">
        <is>
          <t>Elysian, a startup positioning itself as an AI-native third-party administrator for complex commercial claims, named industry veteran Armando Andrade as its Head of Claims Strategy, bringing over two decades of TPA and claims-operations experience from TheBest Claims Solutions.</t>
        </is>
      </c>
      <c r="G379" t="inlineStr">
        <is>
          <t>citybiz</t>
        </is>
      </c>
      <c r="H379" t="inlineStr">
        <is>
          <t>https://www.citybiz.co/article/805390/elysian-appoints-armando-andrade-as-head-of-claims-strategy/</t>
        </is>
      </c>
      <c r="I379" t="inlineStr">
        <is>
          <t>2026-02-11</t>
        </is>
      </c>
    </row>
    <row r="380">
      <c r="A380" t="inlineStr">
        <is>
          <t>2026-09-21</t>
        </is>
      </c>
      <c r="B380" t="inlineStr">
        <is>
          <t>TPA</t>
        </is>
      </c>
      <c r="C380" t="inlineStr">
        <is>
          <t>Technology &amp; AI</t>
        </is>
      </c>
      <c r="D380" t="inlineStr">
        <is>
          <t>United States</t>
        </is>
      </c>
      <c r="E380" t="inlineStr">
        <is>
          <t>Zinnia adds whole-life product engine to its Zahara administration platform</t>
        </is>
      </c>
      <c r="F380" t="inlineStr">
        <is>
          <t>Life and annuity technology vendor Zinnia expanded its Zahara policy administration system with a new configurable whole-life chassis aimed at the final-expense market, letting carriers launch products in roughly three months as API-based, cloud-native administration continues replacing legacy batch systems.</t>
        </is>
      </c>
      <c r="G380" t="inlineStr">
        <is>
          <t>Insurance Innovation Reporter</t>
        </is>
      </c>
      <c r="H380" t="inlineStr">
        <is>
          <t>https://iireporter.com/zinnia-adds-whole-life-chassis/</t>
        </is>
      </c>
      <c r="I380" t="inlineStr">
        <is>
          <t>2026-09-18</t>
        </is>
      </c>
    </row>
    <row r="381">
      <c r="A381" t="inlineStr">
        <is>
          <t>2026-09-21</t>
        </is>
      </c>
      <c r="B381" t="inlineStr">
        <is>
          <t>FinTech</t>
        </is>
      </c>
      <c r="C381" t="inlineStr">
        <is>
          <t>Investments &amp; Funding</t>
        </is>
      </c>
      <c r="D381" t="inlineStr">
        <is>
          <t>UK/Europe</t>
        </is>
      </c>
      <c r="E381" t="inlineStr">
        <is>
          <t>Wealthtech giant FNZ secures $450m top-up from existing backers</t>
        </is>
      </c>
      <c r="F381" t="inlineStr">
        <is>
          <t>Global wealth-management technology platform FNZ raised $450 million in new equity from long-standing institutional investors including CPP Investments and La Caisse, earmarking the funds for continued platform modernization, hiring and product expansion.</t>
        </is>
      </c>
      <c r="G381" t="inlineStr">
        <is>
          <t>FinTech Global</t>
        </is>
      </c>
      <c r="H381" t="inlineStr">
        <is>
          <t>https://fintech.global/2026/09/03/investors-back-fnzs-450m-wealthtech-transformation/</t>
        </is>
      </c>
      <c r="I381" t="inlineStr">
        <is>
          <t>2026-09-03</t>
        </is>
      </c>
    </row>
    <row r="382">
      <c r="A382" t="inlineStr">
        <is>
          <t>2026-09-21</t>
        </is>
      </c>
      <c r="B382" t="inlineStr">
        <is>
          <t>BrokerTech</t>
        </is>
      </c>
      <c r="C382" t="inlineStr">
        <is>
          <t>People &amp; Leadership</t>
        </is>
      </c>
      <c r="D382" t="inlineStr">
        <is>
          <t>UK/Europe</t>
        </is>
      </c>
      <c r="E382" t="inlineStr">
        <is>
          <t>UK broker JMG Group names Andrew Cunis to lead South and private-client business</t>
        </is>
      </c>
      <c r="F382" t="inlineStr">
        <is>
          <t>UK insurance broker consolidator JMG Group appointed industry veteran Andrew Cunis, who brings more than 22 years of experience, as chief executive of its South of England and private-client operations as the group continues regional expansion.</t>
        </is>
      </c>
      <c r="G382" t="inlineStr">
        <is>
          <t>Insurance Times</t>
        </is>
      </c>
      <c r="H382" t="inlineStr">
        <is>
          <t>https://www.insurancetimes.co.uk/news/jmg-group-appoints-new-south-and-private-clients-chief-executive/1458816.article</t>
        </is>
      </c>
      <c r="I382" t="inlineStr">
        <is>
          <t>2026-06-12</t>
        </is>
      </c>
    </row>
    <row r="383">
      <c r="A383" t="inlineStr">
        <is>
          <t>2026-09-21</t>
        </is>
      </c>
      <c r="B383" t="inlineStr">
        <is>
          <t>Insurtech</t>
        </is>
      </c>
      <c r="C383" t="inlineStr">
        <is>
          <t>People &amp; Leadership</t>
        </is>
      </c>
      <c r="D383" t="inlineStr">
        <is>
          <t>United States</t>
        </is>
      </c>
      <c r="E383" t="inlineStr">
        <is>
          <t>AIG's top P&amp;C executive Jon Hancock to step down at year-end</t>
        </is>
      </c>
      <c r="F383" t="inlineStr">
        <is>
          <t>AIG disclosed that General Insurance CEO Jon Hancock will retire December 31, 2026 and move into a senior advisory role reporting to CEO Eric Andersen, the latest in a string of leadership changes atop the carrier this year.</t>
        </is>
      </c>
      <c r="G383" t="inlineStr">
        <is>
          <t>Insurance Journal</t>
        </is>
      </c>
      <c r="H383" t="inlineStr">
        <is>
          <t>https://www.insurancejournal.com/news/national/2026/09/17/885453.htm</t>
        </is>
      </c>
      <c r="I383" t="inlineStr">
        <is>
          <t>2026-09-17</t>
        </is>
      </c>
    </row>
    <row r="384">
      <c r="A384" t="inlineStr">
        <is>
          <t>2026-09-21</t>
        </is>
      </c>
      <c r="B384" t="inlineStr">
        <is>
          <t>Health Insurance / Payer</t>
        </is>
      </c>
      <c r="C384" t="inlineStr">
        <is>
          <t>M&amp;A</t>
        </is>
      </c>
      <c r="D384" t="inlineStr">
        <is>
          <t>United States</t>
        </is>
      </c>
      <c r="E384" t="inlineStr">
        <is>
          <t>Florida clears HCSC's absorption of Cigna's local Medicare business</t>
        </is>
      </c>
      <c r="F384" t="inlineStr">
        <is>
          <t>Florida's insurance commissioner signed off on Health Care Service Corp's acquisition of Cigna's HealthSpring Medicare Advantage operations in the state, one of the remaining state-level approvals needed to fully fold Cigna's Medicare book into HCSC.</t>
        </is>
      </c>
      <c r="G384" t="inlineStr">
        <is>
          <t>Becker's Payer Issues</t>
        </is>
      </c>
      <c r="H384" t="inlineStr">
        <is>
          <t>https://www.beckerspayer.com/m-and-a/hcsc-approved-to-purchase-cignas-medicare-business-in-florida/</t>
        </is>
      </c>
      <c r="I384" t="inlineStr">
        <is>
          <t>2026-09-11</t>
        </is>
      </c>
    </row>
    <row r="385">
      <c r="A385" t="inlineStr">
        <is>
          <t>2026-09-21</t>
        </is>
      </c>
      <c r="B385" t="inlineStr">
        <is>
          <t>Health Insurance / Payer</t>
        </is>
      </c>
      <c r="C385" t="inlineStr">
        <is>
          <t>Regulatory &amp; Policy</t>
        </is>
      </c>
      <c r="D385" t="inlineStr">
        <is>
          <t>United States</t>
        </is>
      </c>
      <c r="E385" t="inlineStr">
        <is>
          <t>ACA enrollees hit with the subsidy cliff again as enhanced credits lapse</t>
        </is>
      </c>
      <c r="F385" t="inlineStr">
        <is>
          <t>With the pandemic-era enhanced premium tax credits gone as of January 1, 2026, the ACA's hard income cutoff for subsidy eligibility has returned, and marketplace insurers' median proposed rate increase for 2026 sits around 18-20%, pushing many middle-income households toward much higher net premiums.</t>
        </is>
      </c>
      <c r="G385" t="inlineStr">
        <is>
          <t>healthinsurance.org</t>
        </is>
      </c>
      <c r="H385" t="inlineStr">
        <is>
          <t>https://www.healthinsurance.org/blog/marketplace-enrollees-face-return-of-the-subsidy-cliff/</t>
        </is>
      </c>
      <c r="I385" t="inlineStr">
        <is>
          <t>2026-09-01</t>
        </is>
      </c>
    </row>
    <row r="386">
      <c r="A386" t="inlineStr">
        <is>
          <t>2026-09-21</t>
        </is>
      </c>
      <c r="B386" t="inlineStr">
        <is>
          <t>Health Insurance / Payer</t>
        </is>
      </c>
      <c r="C386" t="inlineStr">
        <is>
          <t>Technology &amp; AI</t>
        </is>
      </c>
      <c r="D386" t="inlineStr">
        <is>
          <t>United States</t>
        </is>
      </c>
      <c r="E386" t="inlineStr">
        <is>
          <t>Big payers say AI-driven prior-auth cleanup is cutting transaction volume</t>
        </is>
      </c>
      <c r="F386" t="inlineStr">
        <is>
          <t>The six largest publicly traded insurers report they've standardized documentation for more than half their prior-authorization requests under an industry pledge, and sector-wide prior-auth volume has fallen about 11% over a 10-month stretch as automated, standardized workflows take hold.</t>
        </is>
      </c>
      <c r="G386" t="inlineStr">
        <is>
          <t>Fierce Healthcare</t>
        </is>
      </c>
      <c r="H386" t="inlineStr">
        <is>
          <t>https://www.fiercehealthcare.com/payers/unitedhealthcare-aetna-tout-progress-standardize-prior-authorization-part-industry-wide</t>
        </is>
      </c>
      <c r="I386" t="inlineStr">
        <is>
          <t>2026-04-28</t>
        </is>
      </c>
    </row>
    <row r="387">
      <c r="A387" t="inlineStr">
        <is>
          <t>2026-09-21</t>
        </is>
      </c>
      <c r="B387" t="inlineStr">
        <is>
          <t>Health Insurance / Payer</t>
        </is>
      </c>
      <c r="C387" t="inlineStr">
        <is>
          <t>Market Economics</t>
        </is>
      </c>
      <c r="D387" t="inlineStr">
        <is>
          <t>APAC</t>
        </is>
      </c>
      <c r="E387" t="inlineStr">
        <is>
          <t>Employer medical plan cost inflation eases slightly across Asia-Pacific</t>
        </is>
      </c>
      <c r="F387" t="inlineStr">
        <is>
          <t>Brokers report that year-over-year medical trend increases for corporate health plans across Asia-Pacific markets are moderating somewhat in 2026 compared with recent years, though costs remain elevated as insurers cite an aging population and rising private-care demand.</t>
        </is>
      </c>
      <c r="G387" t="inlineStr">
        <is>
          <t>Insurance Business Asia</t>
        </is>
      </c>
      <c r="H387" t="inlineStr">
        <is>
          <t>https://www.insurancebusinessmag.com/asia/news/life-insurance/medical-plan-cost-increases-moderate-for-apac-employers-554218.aspx</t>
        </is>
      </c>
      <c r="I387" t="inlineStr">
        <is>
          <t>2026-06-01</t>
        </is>
      </c>
    </row>
    <row r="388">
      <c r="A388" t="inlineStr">
        <is>
          <t>2026-09-21</t>
        </is>
      </c>
      <c r="B388" t="inlineStr">
        <is>
          <t>Healthcare / Provider &amp; Clinical</t>
        </is>
      </c>
      <c r="C388" t="inlineStr">
        <is>
          <t>Market Economics</t>
        </is>
      </c>
      <c r="D388" t="inlineStr">
        <is>
          <t>United States</t>
        </is>
      </c>
      <c r="E388" t="inlineStr">
        <is>
          <t>Hospital margins keep sliding as expenses outrun reimbursement</t>
        </is>
      </c>
      <c r="F388" t="inlineStr">
        <is>
          <t>System-wide operating margins fell roughly 5% nationally in early 2026 versus a year earlier, with rising bad debt and uncompensated care, soft government reimbursement and Medicare Advantage payment friction squeezing smaller hospitals hardest while the largest nonprofit systems hold up better.</t>
        </is>
      </c>
      <c r="G388" t="inlineStr">
        <is>
          <t>Advisory Board</t>
        </is>
      </c>
      <c r="H388" t="inlineStr">
        <is>
          <t>https://www.advisory.com/daily-briefing/2026/08/27/hospital-performance-ab-ec</t>
        </is>
      </c>
      <c r="I388" t="inlineStr">
        <is>
          <t>2026-08-27</t>
        </is>
      </c>
    </row>
    <row r="389">
      <c r="A389" t="inlineStr">
        <is>
          <t>2026-09-21</t>
        </is>
      </c>
      <c r="B389" t="inlineStr">
        <is>
          <t>Healthcare / Provider &amp; Clinical</t>
        </is>
      </c>
      <c r="C389" t="inlineStr">
        <is>
          <t>Technology &amp; AI</t>
        </is>
      </c>
      <c r="D389" t="inlineStr">
        <is>
          <t>APAC</t>
        </is>
      </c>
      <c r="E389" t="inlineStr">
        <is>
          <t>Taiwan's hospitals roll out agentic AI at scale with NVIDIA and Foxconn</t>
        </is>
      </c>
      <c r="F389" t="inlineStr">
        <is>
          <t>Under a $1.5B 'Healthy Taiwan' push, Foxconn and the island's leading medical centers are deploying NVIDIA-powered clinical agents for tasks like ECG screening, cancer subtyping and real-time procedural support, covering over 14 million patient encounters a year.</t>
        </is>
      </c>
      <c r="G389" t="inlineStr">
        <is>
          <t>NVIDIA Newsroom</t>
        </is>
      </c>
      <c r="H389" t="inlineStr">
        <is>
          <t>https://nvidianews.nvidia.com/news/nvidia-foxconn-and-taiwan-medical-centers-bring-agentic-and-physical-ai-to-healthy-taiwan</t>
        </is>
      </c>
      <c r="I389" t="inlineStr">
        <is>
          <t>2026-06-01</t>
        </is>
      </c>
    </row>
    <row r="390">
      <c r="A390" t="inlineStr">
        <is>
          <t>2026-09-21</t>
        </is>
      </c>
      <c r="B390" t="inlineStr">
        <is>
          <t>Healthcare / Provider &amp; Clinical</t>
        </is>
      </c>
      <c r="C390" t="inlineStr">
        <is>
          <t>Technology &amp; AI</t>
        </is>
      </c>
      <c r="D390" t="inlineStr">
        <is>
          <t>United States</t>
        </is>
      </c>
      <c r="E390" t="inlineStr">
        <is>
          <t>Ambient-AI vendor Suki pushes past documentation into standalone dictation tools</t>
        </is>
      </c>
      <c r="F390" t="inlineStr">
        <is>
          <t>Clinical scribe company Suki is broadening its ambient AI suite with a modular, standalone dictation product for EHRs, part of a wider push by ambient-documentation vendors to extend beyond note-taking into fuller clinical workflow support.</t>
        </is>
      </c>
      <c r="G390" t="inlineStr">
        <is>
          <t>TipRanks</t>
        </is>
      </c>
      <c r="H390" t="inlineStr">
        <is>
          <t>https://www.tipranks.com/news/private-companies/suki-builds-momentum-in-ambient-clinical-ai-with-new-roi-data-and-community-hospital-deals</t>
        </is>
      </c>
      <c r="I390" t="inlineStr">
        <is>
          <t>2026-09-10</t>
        </is>
      </c>
    </row>
    <row r="391">
      <c r="A391" t="inlineStr">
        <is>
          <t>2026-09-21</t>
        </is>
      </c>
      <c r="B391" t="inlineStr">
        <is>
          <t>Healthcare / Provider &amp; Clinical</t>
        </is>
      </c>
      <c r="C391" t="inlineStr">
        <is>
          <t>Regulatory &amp; Policy</t>
        </is>
      </c>
      <c r="D391" t="inlineStr">
        <is>
          <t>United States</t>
        </is>
      </c>
      <c r="E391" t="inlineStr">
        <is>
          <t>CMS locks in more than 5,500 specialists for its mandatory 2027 payment model</t>
        </is>
      </c>
      <c r="F391" t="inlineStr">
        <is>
          <t>CMS released the final participant roster for its new Ambulatory Specialty Model, compelling 5,556 specialists treating heart failure and low back pain in selected regions into value-based payment starting January 1, 2027, with the program running five performance years.</t>
        </is>
      </c>
      <c r="G391" t="inlineStr">
        <is>
          <t>RamaOnHealthcare</t>
        </is>
      </c>
      <c r="H391" t="inlineStr">
        <is>
          <t>https://ramaonhealthcare.com/cms-names-5556-specialists-who-must-join-its-new-payment-model-jan-1/</t>
        </is>
      </c>
      <c r="I391" t="inlineStr">
        <is>
          <t>2026-09-16</t>
        </is>
      </c>
    </row>
    <row r="392">
      <c r="A392" t="inlineStr">
        <is>
          <t>2026-09-21</t>
        </is>
      </c>
      <c r="B392" t="inlineStr">
        <is>
          <t>Healthcare / Provider &amp; Clinical</t>
        </is>
      </c>
      <c r="C392" t="inlineStr">
        <is>
          <t>People &amp; Leadership</t>
        </is>
      </c>
      <c r="D392" t="inlineStr">
        <is>
          <t>United States</t>
        </is>
      </c>
      <c r="E392" t="inlineStr">
        <is>
          <t>ChristianaCare taps Jenn Schwartz as next CEO</t>
        </is>
      </c>
      <c r="F392" t="inlineStr">
        <is>
          <t>Delaware-based ChristianaCare named Jenn Schwartz as its incoming chief executive, succeeding longtime CEO Janice Nevin, who retired September 1, 2026, as part of a broader wave of health-system leadership turnover this year.</t>
        </is>
      </c>
      <c r="G392" t="inlineStr">
        <is>
          <t>Becker's Hospital Review</t>
        </is>
      </c>
      <c r="H392" t="inlineStr">
        <is>
          <t>https://www.beckershospitalreview.com/hospital-executive-moves/11-recent-hospital-health-system-ceo-moves-4/</t>
        </is>
      </c>
      <c r="I392" t="inlineStr">
        <is>
          <t>2026-09-01</t>
        </is>
      </c>
    </row>
    <row r="393">
      <c r="A393" t="inlineStr">
        <is>
          <t>2026-09-22</t>
        </is>
      </c>
      <c r="B393" t="inlineStr">
        <is>
          <t>Retirement</t>
        </is>
      </c>
      <c r="C393" t="inlineStr">
        <is>
          <t>Market Economics</t>
        </is>
      </c>
      <c r="D393" t="inlineStr">
        <is>
          <t>United States</t>
        </is>
      </c>
      <c r="E393" t="inlineStr">
        <is>
          <t>401(k) and 403(b) balances hit record highs as savers stay the course</t>
        </is>
      </c>
      <c r="F393" t="inlineStr">
        <is>
          <t>Fidelity's Q2 2026 retirement analysis found average 401(k) balances grew roughly 10.5% quarter-over-quarter, pushing 401(k), 403(b) and IRA balances to new highs as participants maintained contribution rates despite market swings.</t>
        </is>
      </c>
      <c r="G393" t="inlineStr">
        <is>
          <t>ADVISOR Magazine (LifeHealth)</t>
        </is>
      </c>
      <c r="H393" t="inlineStr">
        <is>
          <t>https://www.lifehealth.com/record-savings-rates-help-drive-401k-403b-and-ira-balances-to-new-highs/</t>
        </is>
      </c>
      <c r="I393" t="inlineStr">
        <is>
          <t>2026-09-15</t>
        </is>
      </c>
    </row>
    <row r="394">
      <c r="A394" t="inlineStr">
        <is>
          <t>2026-09-22</t>
        </is>
      </c>
      <c r="B394" t="inlineStr">
        <is>
          <t>Wealth Management</t>
        </is>
      </c>
      <c r="C394" t="inlineStr">
        <is>
          <t>M&amp;A</t>
        </is>
      </c>
      <c r="D394" t="inlineStr">
        <is>
          <t>United States</t>
        </is>
      </c>
      <c r="E394" t="inlineStr">
        <is>
          <t>Sequoia Financial Group buys $2.3 billion Colorado RIA BSW Wealth Partners</t>
        </is>
      </c>
      <c r="F394" t="inlineStr">
        <is>
          <t>Sequoia Financial Group announced the acquisition of BSW Wealth Partners, a roughly $2.3 billion AUM registered investment advisor, expanding Sequoia's footprint in Colorado as RIA roll-up activity continues at a rapid pace in 2026.</t>
        </is>
      </c>
      <c r="G394" t="inlineStr">
        <is>
          <t>PR Newswire</t>
        </is>
      </c>
      <c r="H394" t="inlineStr">
        <is>
          <t>https://www.prnewswire.com/news-releases/sequoia-financial-group-acquires-2-3-billion-ria-bsw-wealth-partners-deepening-colorado-presence-302866298.html</t>
        </is>
      </c>
      <c r="I394" t="inlineStr">
        <is>
          <t>2026-09-19</t>
        </is>
      </c>
    </row>
    <row r="395">
      <c r="A395" t="inlineStr">
        <is>
          <t>2026-09-22</t>
        </is>
      </c>
      <c r="B395" t="inlineStr">
        <is>
          <t>Property &amp; Casualty</t>
        </is>
      </c>
      <c r="C395" t="inlineStr">
        <is>
          <t>Market Economics</t>
        </is>
      </c>
      <c r="D395" t="inlineStr">
        <is>
          <t>United States</t>
        </is>
      </c>
      <c r="E395" t="inlineStr">
        <is>
          <t>US P&amp;C insurers post $31.7 billion underwriting gain in first half of 2026</t>
        </is>
      </c>
      <c r="F395" t="inlineStr">
        <is>
          <t>The US property/casualty industry's net underwriting gain nearly tripled to $31.7 billion in H1 2026 versus $11.6 billion a year earlier, while net written premium growth slowed to 2.1% as the market continues to soften and competition intensifies.</t>
        </is>
      </c>
      <c r="G395" t="inlineStr">
        <is>
          <t>Insurance Journal</t>
        </is>
      </c>
      <c r="H395" t="inlineStr">
        <is>
          <t>https://www.insurancejournal.com/magazines/mag-features/2026/09/21/885528.htm</t>
        </is>
      </c>
      <c r="I395" t="inlineStr">
        <is>
          <t>2026-09-21</t>
        </is>
      </c>
    </row>
    <row r="396">
      <c r="A396" t="inlineStr">
        <is>
          <t>2026-09-22</t>
        </is>
      </c>
      <c r="B396" t="inlineStr">
        <is>
          <t>Brokers &amp; MGA/GA</t>
        </is>
      </c>
      <c r="C396" t="inlineStr">
        <is>
          <t>M&amp;A</t>
        </is>
      </c>
      <c r="D396" t="inlineStr">
        <is>
          <t>United States</t>
        </is>
      </c>
      <c r="E396" t="inlineStr">
        <is>
          <t>Aon to acquire USI Insurance Services from KKR for $17 billion</t>
        </is>
      </c>
      <c r="F396" t="inlineStr">
        <is>
          <t>Aon confirmed a definitive agreement to acquire USI Insurance Services from private equity owner KKR for $17 billion, extending Aon's push into the US middle market following its 2024 purchase of NFP and adding USI's wholesale MGA/MGU capabilities.</t>
        </is>
      </c>
      <c r="G396" t="inlineStr">
        <is>
          <t>Insurance Journal</t>
        </is>
      </c>
      <c r="H396" t="inlineStr">
        <is>
          <t>https://www.insurancejournal.com/magazines/mag-business-moves/2026/09/21/885520.htm</t>
        </is>
      </c>
      <c r="I396" t="inlineStr">
        <is>
          <t>2026-09-21</t>
        </is>
      </c>
    </row>
    <row r="397">
      <c r="A397" t="inlineStr">
        <is>
          <t>2026-09-22</t>
        </is>
      </c>
      <c r="B397" t="inlineStr">
        <is>
          <t>FinTech</t>
        </is>
      </c>
      <c r="C397" t="inlineStr">
        <is>
          <t>Investments &amp; Funding</t>
        </is>
      </c>
      <c r="D397" t="inlineStr">
        <is>
          <t>United States</t>
        </is>
      </c>
      <c r="E397" t="inlineStr">
        <is>
          <t>AI-native small-business health benefits brokerage Corridor launches with $25 million seed round</t>
        </is>
      </c>
      <c r="F397" t="inlineStr">
        <is>
          <t>Corridor, an AI-native benefits brokerage aimed at closing the gap between the health coverage options available to large employers versus small businesses, launched with a $25 million seed round led by Bain Capital Ventures with participation from BoxGroup and Definition Capital.</t>
        </is>
      </c>
      <c r="G397" t="inlineStr">
        <is>
          <t>FinTech Global</t>
        </is>
      </c>
      <c r="H397" t="inlineStr">
        <is>
          <t>https://fintech.global/2026/09/22/corridor-raises-25m-to-fix-small-business-health-cover/</t>
        </is>
      </c>
      <c r="I397" t="inlineStr">
        <is>
          <t>2026-09-22</t>
        </is>
      </c>
    </row>
    <row r="398">
      <c r="A398" t="inlineStr">
        <is>
          <t>2026-09-22</t>
        </is>
      </c>
      <c r="B398" t="inlineStr">
        <is>
          <t>Insurtech</t>
        </is>
      </c>
      <c r="C398" t="inlineStr">
        <is>
          <t>People &amp; Leadership</t>
        </is>
      </c>
      <c r="D398" t="inlineStr">
        <is>
          <t>Global</t>
        </is>
      </c>
      <c r="E398" t="inlineStr">
        <is>
          <t>Sapiens expands executive bench with new Chief Autonomous Enterprise Officer and CMO</t>
        </is>
      </c>
      <c r="F398" t="inlineStr">
        <is>
          <t>Core insurance software provider Sapiens International named Nazir Esmail as Chief Autonomous Enterprise Officer and Maggie Fox as Chief Marketing Officer, broadening its leadership team as it pushes further into AI-driven, autonomous insurance operations.</t>
        </is>
      </c>
      <c r="G398" t="inlineStr">
        <is>
          <t>Insurance Edge</t>
        </is>
      </c>
      <c r="H398" t="inlineStr">
        <is>
          <t>https://insurance-edge.net/2026/09/21/job-moves-and-senior-appointments-21-09-2026/</t>
        </is>
      </c>
      <c r="I398" t="inlineStr">
        <is>
          <t>2026-09-21</t>
        </is>
      </c>
    </row>
    <row r="399">
      <c r="A399" t="inlineStr">
        <is>
          <t>2026-09-22</t>
        </is>
      </c>
      <c r="B399" t="inlineStr">
        <is>
          <t>Health Insurance / Payer</t>
        </is>
      </c>
      <c r="C399" t="inlineStr">
        <is>
          <t>Market Economics</t>
        </is>
      </c>
      <c r="D399" t="inlineStr">
        <is>
          <t>UK/Europe</t>
        </is>
      </c>
      <c r="E399" t="inlineStr">
        <is>
          <t>WTW warns UK employer health insurance costs set to jump more than 10% in 2026</t>
        </is>
      </c>
      <c r="F399" t="inlineStr">
        <is>
          <t>A WTW analysis projects UK private medical insurance costs for employers will rise over 10% in 2026, as elevated medical inflation driven by expensive oncology treatments and a surge in mental health claims continues to squeeze corporate health benefit budgets.</t>
        </is>
      </c>
      <c r="G399" t="inlineStr">
        <is>
          <t>Insurance Business UK</t>
        </is>
      </c>
      <c r="H399" t="inlineStr">
        <is>
          <t>https://www.insurancebusinessmag.com/uk/news/life-insurance/health-insurance-costs-to-surge-over-10-in-2026-wtw-556263.aspx</t>
        </is>
      </c>
      <c r="I399" t="inlineStr">
        <is>
          <t>2026-09-18</t>
        </is>
      </c>
    </row>
    <row r="400">
      <c r="A400" t="inlineStr">
        <is>
          <t>2026-09-22</t>
        </is>
      </c>
      <c r="B400" t="inlineStr">
        <is>
          <t>Health Insurance / Payer</t>
        </is>
      </c>
      <c r="C400" t="inlineStr">
        <is>
          <t>Regulatory &amp; Policy</t>
        </is>
      </c>
      <c r="D400" t="inlineStr">
        <is>
          <t>United States</t>
        </is>
      </c>
      <c r="E400" t="inlineStr">
        <is>
          <t>FTC finds PBM specialty-drug markups generated $7.3 billion in excess revenue</t>
        </is>
      </c>
      <c r="F400" t="inlineStr">
        <is>
          <t>A Federal Trade Commission report found the largest pharmacy benefit managers marked up specialty generic drugs enough to generate more than $7.3 billion in excess revenue between 2017 and 2022, with PBM-affiliated pharmacies charging especially steep markups on cancer and HIV medications.</t>
        </is>
      </c>
      <c r="G400" t="inlineStr">
        <is>
          <t>AJMC</t>
        </is>
      </c>
      <c r="H400" t="inlineStr">
        <is>
          <t>https://www.ajmc.com/view/ftc-report-highlights-prescription-drug-price-markups-by-pbms</t>
        </is>
      </c>
      <c r="I400" t="inlineStr">
        <is>
          <t>2026-09-12</t>
        </is>
      </c>
    </row>
    <row r="401">
      <c r="A401" t="inlineStr">
        <is>
          <t>2026-09-22</t>
        </is>
      </c>
      <c r="B401" t="inlineStr">
        <is>
          <t>Healthcare / Provider &amp; Clinical</t>
        </is>
      </c>
      <c r="C401" t="inlineStr">
        <is>
          <t>Technology &amp; AI</t>
        </is>
      </c>
      <c r="D401" t="inlineStr">
        <is>
          <t>United States</t>
        </is>
      </c>
      <c r="E401" t="inlineStr">
        <is>
          <t>Guthrie Clinic and UF Health deploy R1's AI-native utilization and revenue-cycle platform</t>
        </is>
      </c>
      <c r="F401" t="inlineStr">
        <is>
          <t>Guthrie Clinic and UF Health became early adopters of R1's Phare platform, an AI-powered tool that shifts utilization management from retrospective chart review to real-time clinical and financial decisioning as health systems scale enterprise AI beyond pilots.</t>
        </is>
      </c>
      <c r="G401" t="inlineStr">
        <is>
          <t>Becker's Hospital Review</t>
        </is>
      </c>
      <c r="H401" t="inlineStr">
        <is>
          <t>https://www.beckershospitalreview.com/healthcare-information-technology/ai/health-systems-ramp-up-ai-partnerships/</t>
        </is>
      </c>
      <c r="I401" t="inlineStr">
        <is>
          <t>2026-09-16</t>
        </is>
      </c>
    </row>
    <row r="402">
      <c r="A402" t="inlineStr">
        <is>
          <t>2026-09-22</t>
        </is>
      </c>
      <c r="B402" t="inlineStr">
        <is>
          <t>Property &amp; Casualty</t>
        </is>
      </c>
      <c r="C402" t="inlineStr">
        <is>
          <t>People &amp; Leadership</t>
        </is>
      </c>
      <c r="D402" t="inlineStr">
        <is>
          <t>United States</t>
        </is>
      </c>
      <c r="E402" t="inlineStr">
        <is>
          <t>AIG names Sierra Signorelli CEO of Americas and Global Personal Insurance as Zaffino steps back</t>
        </is>
      </c>
      <c r="F402" t="inlineStr">
        <is>
          <t>AIG appointed Sierra Signorelli, rejoining from Zurich, as Chief Executive Officer of Americas and Global Personal Insurance effective January 2027, while Peter Zaffino stepped down as Executive Chair and board member effective September 15, 2026.</t>
        </is>
      </c>
      <c r="G402" t="inlineStr">
        <is>
          <t>Business Wire</t>
        </is>
      </c>
      <c r="H402" t="inlineStr">
        <is>
          <t>https://www.businesswire.com/news/home/20260921688711/en/AIG-Appoints-Sierra-Signorelli-CEO-of-Americas-and-Global-Personal-Insurance</t>
        </is>
      </c>
      <c r="I402" t="inlineStr">
        <is>
          <t>2026-09-21</t>
        </is>
      </c>
    </row>
    <row r="403">
      <c r="A403" t="inlineStr">
        <is>
          <t>2026-09-23</t>
        </is>
      </c>
      <c r="B403" t="inlineStr">
        <is>
          <t>Life &amp; Annuities</t>
        </is>
      </c>
      <c r="C403" t="inlineStr">
        <is>
          <t>Market Economics</t>
        </is>
      </c>
      <c r="D403" t="inlineStr">
        <is>
          <t>APAC</t>
        </is>
      </c>
      <c r="E403" t="inlineStr">
        <is>
          <t>Prudential Singapore widens tied-agent advisory lineup to include wealth products</t>
        </is>
      </c>
      <c r="F403" t="inlineStr">
        <is>
          <t>Prudential Singapore said its roughly 5,400 tied-agency financial representatives will be able to offer unit trusts and other wealth-accumulation products starting in 2027, part of a push toward more holistic retirement and wealth advice.</t>
        </is>
      </c>
      <c r="G403" t="inlineStr">
        <is>
          <t>Pan African Visions</t>
        </is>
      </c>
      <c r="H403" t="inlineStr">
        <is>
          <t>https://panafricanvisions.com/2026/09/prudential-singapore-expands-advisory-services-to-help-customers-plan-and-grow-wealth-for-retirement/</t>
        </is>
      </c>
      <c r="I403" t="inlineStr">
        <is>
          <t>2026-09-23</t>
        </is>
      </c>
    </row>
    <row r="404">
      <c r="A404" t="inlineStr">
        <is>
          <t>2026-09-23</t>
        </is>
      </c>
      <c r="B404" t="inlineStr">
        <is>
          <t>Wealth Management</t>
        </is>
      </c>
      <c r="C404" t="inlineStr">
        <is>
          <t>People &amp; Leadership</t>
        </is>
      </c>
      <c r="D404" t="inlineStr">
        <is>
          <t>United States</t>
        </is>
      </c>
      <c r="E404" t="inlineStr">
        <is>
          <t>Stansberry Asset Management rebrands as Meristead Wealth, managing $1.4 billion</t>
        </is>
      </c>
      <c r="F404" t="inlineStr">
        <is>
          <t>Stansberry Asset Management officially relaunched as Meristead Wealth, a national RIA managing close to $1.4 billion in assets, reflecting a decade of growth since its 2016 founding and an expanded role helping clients manage and preserve wealth.</t>
        </is>
      </c>
      <c r="G404" t="inlineStr">
        <is>
          <t>GlobeNewswire</t>
        </is>
      </c>
      <c r="H404" t="inlineStr">
        <is>
          <t>https://www.globenewswire.com/news-release/2026/09/22/3366225/0/en/meristead-wealth-launches-as-a-national-ria-managing-close-to-1-4b-in-assets.html</t>
        </is>
      </c>
      <c r="I404" t="inlineStr">
        <is>
          <t>2026-09-22</t>
        </is>
      </c>
    </row>
    <row r="405">
      <c r="A405" t="inlineStr">
        <is>
          <t>2026-09-23</t>
        </is>
      </c>
      <c r="B405" t="inlineStr">
        <is>
          <t>Wealth Management</t>
        </is>
      </c>
      <c r="C405" t="inlineStr">
        <is>
          <t>M&amp;A</t>
        </is>
      </c>
      <c r="D405" t="inlineStr">
        <is>
          <t>United States</t>
        </is>
      </c>
      <c r="E405" t="inlineStr">
        <is>
          <t>Creative Planning to acquire $4.3 trillion institutional consultant RVK</t>
        </is>
      </c>
      <c r="F405" t="inlineStr">
        <is>
          <t>Creative Planning agreed to acquire Portland-based institutional investment consultant RVK, which advises roughly 200 clients including pension plans, endowments and insurers on $4.3 trillion in assets; the deal is expected to close in January 2027 with terms undisclosed.</t>
        </is>
      </c>
      <c r="G405" t="inlineStr">
        <is>
          <t>PR Newswire</t>
        </is>
      </c>
      <c r="H405" t="inlineStr">
        <is>
          <t>https://www.prnewswire.com/news-releases/creative-planning-to-acquire-rvk-expanding-its-institutional-investment-consulting-capabilities-302878983.html</t>
        </is>
      </c>
      <c r="I405" t="inlineStr">
        <is>
          <t>2026-09-15</t>
        </is>
      </c>
    </row>
    <row r="406">
      <c r="A406" t="inlineStr">
        <is>
          <t>2026-09-23</t>
        </is>
      </c>
      <c r="B406" t="inlineStr">
        <is>
          <t>Wealth Management</t>
        </is>
      </c>
      <c r="C406" t="inlineStr">
        <is>
          <t>Investments &amp; Funding</t>
        </is>
      </c>
      <c r="D406" t="inlineStr">
        <is>
          <t>UK/Europe</t>
        </is>
      </c>
      <c r="E406" t="inlineStr">
        <is>
          <t>AI-led wealth platform Quartz raises £2.75 million pre-seed round</t>
        </is>
      </c>
      <c r="F406" t="inlineStr">
        <is>
          <t>UK wealthtech startup Quartz raised a £2.75 million pre-seed round to build an AI-led wealth management platform, joining a wave of early-stage funding for AI-native advisory tools.</t>
        </is>
      </c>
      <c r="G406" t="inlineStr">
        <is>
          <t>FinTech Global</t>
        </is>
      </c>
      <c r="H406" t="inlineStr">
        <is>
          <t>https://fintech.global/2026/09/17/quartz-raises-2-75m-pre-seed-for-ai-led-wealth-platform/</t>
        </is>
      </c>
      <c r="I406" t="inlineStr">
        <is>
          <t>2026-09-17</t>
        </is>
      </c>
    </row>
    <row r="407">
      <c r="A407" t="inlineStr">
        <is>
          <t>2026-09-23</t>
        </is>
      </c>
      <c r="B407" t="inlineStr">
        <is>
          <t>Property &amp; Casualty</t>
        </is>
      </c>
      <c r="C407" t="inlineStr">
        <is>
          <t>Regulatory &amp; Policy</t>
        </is>
      </c>
      <c r="D407" t="inlineStr">
        <is>
          <t>United States</t>
        </is>
      </c>
      <c r="E407" t="inlineStr">
        <is>
          <t>California adopts 6.6% workers' comp rate increase, below industry's ask</t>
        </is>
      </c>
      <c r="F407" t="inlineStr">
        <is>
          <t>California's insurance commissioner set a new advisory pure premium rate of $1.65 per $100 of payroll, a 6.6% increase effective September 1, 2026, well below the 10.4% increase the state's rating bureau had requested, citing rising medical costs and cumulative trauma claims.</t>
        </is>
      </c>
      <c r="G407" t="inlineStr">
        <is>
          <t>California Department of Insurance</t>
        </is>
      </c>
      <c r="H407" t="inlineStr">
        <is>
          <t>https://www.insurance.ca.gov/0400-news/0100-press-releases/2026/release024-2026.cfm</t>
        </is>
      </c>
      <c r="I407" t="inlineStr">
        <is>
          <t>2026-09-01</t>
        </is>
      </c>
    </row>
    <row r="408">
      <c r="A408" t="inlineStr">
        <is>
          <t>2026-09-23</t>
        </is>
      </c>
      <c r="B408" t="inlineStr">
        <is>
          <t>Property &amp; Casualty</t>
        </is>
      </c>
      <c r="C408" t="inlineStr">
        <is>
          <t>Regulatory &amp; Policy</t>
        </is>
      </c>
      <c r="D408" t="inlineStr">
        <is>
          <t>UK/Europe</t>
        </is>
      </c>
      <c r="E408" t="inlineStr">
        <is>
          <t>EU unveils Climate Insurance Alliance to close catastrophe protection gap</t>
        </is>
      </c>
      <c r="F408" t="inlineStr">
        <is>
          <t>European Commission President Ursula von der Leyen announced a new Climate Insurance Alliance bringing together insurers, investors, regulators and risk modelers to expand catastrophe coverage, after a summer of drought, wildfires and heatwaves left only about a quarter of losses privately insured.</t>
        </is>
      </c>
      <c r="G408" t="inlineStr">
        <is>
          <t>The Insurer</t>
        </is>
      </c>
      <c r="H408" t="inlineStr">
        <is>
          <t>https://www.theinsurer.com/sustainable-insurance/news/eu-to-launch-climate-insurance-scheme-after-summer-of-extreme-weather-2026-09-16/</t>
        </is>
      </c>
      <c r="I408" t="inlineStr">
        <is>
          <t>2026-09-16</t>
        </is>
      </c>
    </row>
    <row r="409">
      <c r="A409" t="inlineStr">
        <is>
          <t>2026-09-23</t>
        </is>
      </c>
      <c r="B409" t="inlineStr">
        <is>
          <t>Property &amp; Casualty</t>
        </is>
      </c>
      <c r="C409" t="inlineStr">
        <is>
          <t>Market Economics</t>
        </is>
      </c>
      <c r="D409" t="inlineStr">
        <is>
          <t>Global</t>
        </is>
      </c>
      <c r="E409" t="inlineStr">
        <is>
          <t>Cyber insurance rates fall for a fourth straight year as AI reshapes risk</t>
        </is>
      </c>
      <c r="F409" t="inlineStr">
        <is>
          <t>Swiss Re reported global cyber insurance rates fell about 5% in 2026, the fourth consecutive year of declines, as abundant capacity created a buyer's market even as AI amplifies ransomware and phishing risks; Swiss Re projects global cyber premiums reaching $16.4 billion this year.</t>
        </is>
      </c>
      <c r="G409" t="inlineStr">
        <is>
          <t>The Insurer</t>
        </is>
      </c>
      <c r="H409" t="inlineStr">
        <is>
          <t>https://www.theinsurer.com/cyber-risk/news/cyber-insurance-rates-fall-for-fourth-year-as-ai-raises-risk-stakes-swiss-re-2026-09-01/</t>
        </is>
      </c>
      <c r="I409" t="inlineStr">
        <is>
          <t>2026-09-01</t>
        </is>
      </c>
    </row>
    <row r="410">
      <c r="A410" t="inlineStr">
        <is>
          <t>2026-09-23</t>
        </is>
      </c>
      <c r="B410" t="inlineStr">
        <is>
          <t>Brokers &amp; MGA/GA</t>
        </is>
      </c>
      <c r="C410" t="inlineStr">
        <is>
          <t>Market Economics</t>
        </is>
      </c>
      <c r="D410" t="inlineStr">
        <is>
          <t>APAC</t>
        </is>
      </c>
      <c r="E410" t="inlineStr">
        <is>
          <t>Hong Kong's new insurance push puts fresh opportunities on brokers' radar</t>
        </is>
      </c>
      <c r="F410" t="inlineStr">
        <is>
          <t>A newly outlined Hong Kong insurance market plan is drawing broker attention to new lines and distribution opportunities as the territory looks to expand its position as a regional insurance hub.</t>
        </is>
      </c>
      <c r="G410" t="inlineStr">
        <is>
          <t>Insurance Business Asia</t>
        </is>
      </c>
      <c r="H410" t="inlineStr">
        <is>
          <t>https://www.insurancebusinessmag.com/asia/news/breaking-news/hong-kong-plan-puts-new-insurance-markets-on-brokers-radar-590158.aspx</t>
        </is>
      </c>
      <c r="I410" t="inlineStr">
        <is>
          <t>2026-09-21</t>
        </is>
      </c>
    </row>
    <row r="411">
      <c r="A411" t="inlineStr">
        <is>
          <t>2026-09-23</t>
        </is>
      </c>
      <c r="B411" t="inlineStr">
        <is>
          <t>TPA</t>
        </is>
      </c>
      <c r="C411" t="inlineStr">
        <is>
          <t>Regulatory &amp; Policy</t>
        </is>
      </c>
      <c r="D411" t="inlineStr">
        <is>
          <t>United States</t>
        </is>
      </c>
      <c r="E411" t="inlineStr">
        <is>
          <t>Circuit split emerges over ERISA preemption for TPA negligence claims</t>
        </is>
      </c>
      <c r="F411" t="inlineStr">
        <is>
          <t>A September fiduciary compliance update flagged a new circuit split after the Ninth Circuit allowed a healthcare provider's negligent-misrepresentation claim against a plan administrator to proceed past ERISA preemption in August, while the Sixth Circuit reached the opposite conclusion on similar facts days later.</t>
        </is>
      </c>
      <c r="G411" t="inlineStr">
        <is>
          <t>Claim Informatics</t>
        </is>
      </c>
      <c r="H411" t="inlineStr">
        <is>
          <t>https://www.claiminformatics.com/post/fiduciary-compliance-update-september-2026</t>
        </is>
      </c>
      <c r="I411" t="inlineStr">
        <is>
          <t>2026-09-01</t>
        </is>
      </c>
    </row>
    <row r="412">
      <c r="A412" t="inlineStr">
        <is>
          <t>2026-09-23</t>
        </is>
      </c>
      <c r="B412" t="inlineStr">
        <is>
          <t>FinTech</t>
        </is>
      </c>
      <c r="C412" t="inlineStr">
        <is>
          <t>Technology &amp; AI</t>
        </is>
      </c>
      <c r="D412" t="inlineStr">
        <is>
          <t>Global</t>
        </is>
      </c>
      <c r="E412" t="inlineStr">
        <is>
          <t>Insurers told faster AI adoption needs stronger governance, not less</t>
        </is>
      </c>
      <c r="F412" t="inlineStr">
        <is>
          <t>Industry commentary warns that as insurers speed up AI deployment in underwriting and claims, weak data governance is becoming the bigger risk, with surveys showing many commercial insurers still don't fully trust the data feeding their models.</t>
        </is>
      </c>
      <c r="G412" t="inlineStr">
        <is>
          <t>FinTech Global</t>
        </is>
      </c>
      <c r="H412" t="inlineStr">
        <is>
          <t>https://fintech.global/2026/09/16/why-faster-insurance-ai-needs-stronger-governance/</t>
        </is>
      </c>
      <c r="I412" t="inlineStr">
        <is>
          <t>2026-09-16</t>
        </is>
      </c>
    </row>
    <row r="413">
      <c r="A413" t="inlineStr">
        <is>
          <t>2026-09-23</t>
        </is>
      </c>
      <c r="B413" t="inlineStr">
        <is>
          <t>Insurtech</t>
        </is>
      </c>
      <c r="C413" t="inlineStr">
        <is>
          <t>Technology &amp; AI</t>
        </is>
      </c>
      <c r="D413" t="inlineStr">
        <is>
          <t>Global</t>
        </is>
      </c>
      <c r="E413" t="inlineStr">
        <is>
          <t>Insurers weigh whether AI can help close the climate protection gap</t>
        </is>
      </c>
      <c r="F413" t="inlineStr">
        <is>
          <t>A FinTech Global analysis examines whether AI-driven risk modeling and pricing tools can help insurers profitably extend coverage into regions facing rising climate-driven losses, rather than simply retreating from them.</t>
        </is>
      </c>
      <c r="G413" t="inlineStr">
        <is>
          <t>FinTech Global</t>
        </is>
      </c>
      <c r="H413" t="inlineStr">
        <is>
          <t>https://fintech.global/2026/09/22/can-ai-help-insurance-tackle-rising-climate-costs/</t>
        </is>
      </c>
      <c r="I413" t="inlineStr">
        <is>
          <t>2026-09-22</t>
        </is>
      </c>
    </row>
    <row r="414">
      <c r="A414" t="inlineStr">
        <is>
          <t>2026-09-23</t>
        </is>
      </c>
      <c r="B414" t="inlineStr">
        <is>
          <t>Insurtech</t>
        </is>
      </c>
      <c r="C414" t="inlineStr">
        <is>
          <t>Technology &amp; AI</t>
        </is>
      </c>
      <c r="D414" t="inlineStr">
        <is>
          <t>UK/Europe</t>
        </is>
      </c>
      <c r="E414" t="inlineStr">
        <is>
          <t>ISG research for mea Platform finds insurers ready to hand off repeatable work to AI</t>
        </is>
      </c>
      <c r="F414" t="inlineStr">
        <is>
          <t>Research commissioned by UK insurtech mea Platform from ISG found 83% of the global insurance market would support AI executing repeatable operational work, though 75% said they would only trust it within an insurance-specific or governed model.</t>
        </is>
      </c>
      <c r="G414" t="inlineStr">
        <is>
          <t>Reinsurance News</t>
        </is>
      </c>
      <c r="H414" t="inlineStr">
        <is>
          <t>https://www.reinsurancene.ws/isg-research-for-mea-platform-finds-insurers-ready-to-hand-work-to-ai/</t>
        </is>
      </c>
      <c r="I414" t="inlineStr">
        <is>
          <t>2026-09-17</t>
        </is>
      </c>
    </row>
    <row r="415">
      <c r="A415" t="inlineStr">
        <is>
          <t>2026-09-23</t>
        </is>
      </c>
      <c r="B415" t="inlineStr">
        <is>
          <t>Health Insurance / Payer</t>
        </is>
      </c>
      <c r="C415" t="inlineStr">
        <is>
          <t>Regulatory &amp; Policy</t>
        </is>
      </c>
      <c r="D415" t="inlineStr">
        <is>
          <t>India</t>
        </is>
      </c>
      <c r="E415" t="inlineStr">
        <is>
          <t>India weighs standardized treatment rates to rein in health insurance costs</t>
        </is>
      </c>
      <c r="F415" t="inlineStr">
        <is>
          <t>Indian policymakers are considering a broad health insurance overhaul, including standardized hospital treatment rates, uniform coverage rules and a wider nationwide claims platform, as medical inflation running at 12-14% a year strains affordability; a joint panel of regulators, insurers and hospitals is due to report by year-end.</t>
        </is>
      </c>
      <c r="G415" t="inlineStr">
        <is>
          <t>Outlook Business</t>
        </is>
      </c>
      <c r="H415" t="inlineStr">
        <is>
          <t>https://www.outlookbusiness.com/economy-and-policy/indias-health-insurance-reset-will-standard-rates-finally-cut-medical-bills</t>
        </is>
      </c>
      <c r="I415" t="inlineStr">
        <is>
          <t>2026-09-10</t>
        </is>
      </c>
    </row>
    <row r="416">
      <c r="A416" t="inlineStr">
        <is>
          <t>2026-09-23</t>
        </is>
      </c>
      <c r="B416" t="inlineStr">
        <is>
          <t>Healthcare / Provider &amp; Clinical</t>
        </is>
      </c>
      <c r="C416" t="inlineStr">
        <is>
          <t>Technology &amp; AI</t>
        </is>
      </c>
      <c r="D416" t="inlineStr">
        <is>
          <t>APAC</t>
        </is>
      </c>
      <c r="E416" t="inlineStr">
        <is>
          <t>Taipei Veterans General Hospital moves AI insights directly into clinical workflows</t>
        </is>
      </c>
      <c r="F416" t="inlineStr">
        <is>
          <t>The 3,000-bed Taipei Veterans General Hospital, newly validated at Stage 7 of the HIMSS EMR Adoption Model, is integrating AI-generated insights directly into clinician workflows using HL7 FHIR standards rather than treating AI as a bolt-on tool.</t>
        </is>
      </c>
      <c r="G416" t="inlineStr">
        <is>
          <t>DIGITIMES</t>
        </is>
      </c>
      <c r="H416" t="inlineStr">
        <is>
          <t>https://www.digitimes.com/news/a20260917VL223/healthcare-taiwan-asia-medical-acer-medical.html</t>
        </is>
      </c>
      <c r="I416" t="inlineStr">
        <is>
          <t>2026-09-17</t>
        </is>
      </c>
    </row>
    <row r="417">
      <c r="A417" t="inlineStr">
        <is>
          <t>2026-09-24</t>
        </is>
      </c>
      <c r="B417" t="inlineStr">
        <is>
          <t>Life &amp; Annuities</t>
        </is>
      </c>
      <c r="C417" t="inlineStr">
        <is>
          <t>Regulatory &amp; Policy</t>
        </is>
      </c>
      <c r="D417" t="inlineStr">
        <is>
          <t>UK/Europe</t>
        </is>
      </c>
      <c r="E417" t="inlineStr">
        <is>
          <t>FCA finds UK protection market delivers good outcomes but 58% of consumers still lack cover</t>
        </is>
      </c>
      <c r="F417" t="inlineStr">
        <is>
          <t>The FCA's final Pure Protection Market Study found the market largely works well for buyers, with high claims acceptance and low complaints, but flagged that 58% of consumers don't hold a pure protection policy. The regulator will pursue non-binding action on consumer awareness, the sales journey and innovation rather than new rules.</t>
        </is>
      </c>
      <c r="G417" t="inlineStr">
        <is>
          <t>The Intermediary</t>
        </is>
      </c>
      <c r="H417" t="inlineStr">
        <is>
          <t>https://theintermediary.co.uk/2026/09/protection-market-delivers-good-outcomes-but-coverage-gap-remains-fca-finds/</t>
        </is>
      </c>
      <c r="I417" t="inlineStr">
        <is>
          <t>2026-09-18</t>
        </is>
      </c>
    </row>
    <row r="418">
      <c r="A418" t="inlineStr">
        <is>
          <t>2026-09-24</t>
        </is>
      </c>
      <c r="B418" t="inlineStr">
        <is>
          <t>Wealth Management</t>
        </is>
      </c>
      <c r="C418" t="inlineStr">
        <is>
          <t>M&amp;A</t>
        </is>
      </c>
      <c r="D418" t="inlineStr">
        <is>
          <t>United States</t>
        </is>
      </c>
      <c r="E418" t="inlineStr">
        <is>
          <t>Five major RIA aggregator platforms reportedly weighing a sale</t>
        </is>
      </c>
      <c r="F418" t="inlineStr">
        <is>
          <t>Dakota reports that at least five of the largest RIA roll-up platforms are exploring potential sale processes, as private equity appetite for wealth-management consolidation continues to run hot heading into year-end.</t>
        </is>
      </c>
      <c r="G418" t="inlineStr">
        <is>
          <t>Dakota</t>
        </is>
      </c>
      <c r="H418" t="inlineStr">
        <is>
          <t>https://www.dakota.com/resources/blog/top-5-ria-platforms-reportedly-exploring-a-sale-in-2026</t>
        </is>
      </c>
      <c r="I418" t="inlineStr">
        <is>
          <t>2026-09-22</t>
        </is>
      </c>
    </row>
    <row r="419">
      <c r="A419" t="inlineStr">
        <is>
          <t>2026-09-24</t>
        </is>
      </c>
      <c r="B419" t="inlineStr">
        <is>
          <t>Wealth Management</t>
        </is>
      </c>
      <c r="C419" t="inlineStr">
        <is>
          <t>People &amp; Leadership</t>
        </is>
      </c>
      <c r="D419" t="inlineStr">
        <is>
          <t>United States</t>
        </is>
      </c>
      <c r="E419" t="inlineStr">
        <is>
          <t>Edelman Financial Engines names Tina Wilson chief retirement officer</t>
        </is>
      </c>
      <c r="F419" t="inlineStr">
        <is>
          <t>Edelman Financial Engines appointed Tina Wilson as its first chief retirement officer, part of a wave of senior leadership moves among large wealth management firms this fall.</t>
        </is>
      </c>
      <c r="G419" t="inlineStr">
        <is>
          <t>WealthManagement.com</t>
        </is>
      </c>
      <c r="H419" t="inlineStr">
        <is>
          <t>https://www.wealthmanagement.com/ria-news/major-wealth-firms-announce-leadership-changes</t>
        </is>
      </c>
      <c r="I419" t="inlineStr">
        <is>
          <t>2026-09-19</t>
        </is>
      </c>
    </row>
    <row r="420">
      <c r="A420" t="inlineStr">
        <is>
          <t>2026-09-24</t>
        </is>
      </c>
      <c r="B420" t="inlineStr">
        <is>
          <t>Wealth Management</t>
        </is>
      </c>
      <c r="C420" t="inlineStr">
        <is>
          <t>Investments &amp; Funding</t>
        </is>
      </c>
      <c r="D420" t="inlineStr">
        <is>
          <t>United States</t>
        </is>
      </c>
      <c r="E420" t="inlineStr">
        <is>
          <t>Aquiline to take controlling stake in MassMutual's Flourish wealthtech platform</t>
        </is>
      </c>
      <c r="F420" t="inlineStr">
        <is>
          <t>Aquiline agreed to invest in and take a controlling interest in Flourish, the wealthtech platform MassMutual built for independent RIAs, which has grown cash-management assets under custody from $1 billion to $8 billion in five years. The deal is expected to close in Q4 2026, with former Fidelity RIA chief David Canter joining as executive chairman.</t>
        </is>
      </c>
      <c r="G420" t="inlineStr">
        <is>
          <t>FinTech Global</t>
        </is>
      </c>
      <c r="H420" t="inlineStr">
        <is>
          <t>https://fintech.global/2026/09/02/aquiline-to-invest-in-wealthtech-platform-flourish/</t>
        </is>
      </c>
      <c r="I420" t="inlineStr">
        <is>
          <t>2026-09-02</t>
        </is>
      </c>
    </row>
    <row r="421">
      <c r="A421" t="inlineStr">
        <is>
          <t>2026-09-24</t>
        </is>
      </c>
      <c r="B421" t="inlineStr">
        <is>
          <t>Property &amp; Casualty</t>
        </is>
      </c>
      <c r="C421" t="inlineStr">
        <is>
          <t>Market Economics</t>
        </is>
      </c>
      <c r="D421" t="inlineStr">
        <is>
          <t>Global</t>
        </is>
      </c>
      <c r="E421" t="inlineStr">
        <is>
          <t>Global reinsurance pricing set to stay under pressure through 2027 despite healthy margins</t>
        </is>
      </c>
      <c r="F421" t="inlineStr">
        <is>
          <t>Global reinsurance pricing will keep softening through 2027, compressing underwriting margins, though healthy combined ratios and solid investment income should keep profitability above the sector's cost of capital, with cyber, renewables and data-center risk offering pockets of growth.</t>
        </is>
      </c>
      <c r="G421" t="inlineStr">
        <is>
          <t>Insurance Journal</t>
        </is>
      </c>
      <c r="H421" t="inlineStr">
        <is>
          <t>https://www.insurancejournal.com/news/international/2026/09/04/883905.htm</t>
        </is>
      </c>
      <c r="I421" t="inlineStr">
        <is>
          <t>2026-09-04</t>
        </is>
      </c>
    </row>
    <row r="422">
      <c r="A422" t="inlineStr">
        <is>
          <t>2026-09-24</t>
        </is>
      </c>
      <c r="B422" t="inlineStr">
        <is>
          <t>Property &amp; Casualty</t>
        </is>
      </c>
      <c r="C422" t="inlineStr">
        <is>
          <t>Regulatory &amp; Policy</t>
        </is>
      </c>
      <c r="D422" t="inlineStr">
        <is>
          <t>APAC</t>
        </is>
      </c>
      <c r="E422" t="inlineStr">
        <is>
          <t>Hong Kong pushes captive and ILS expansion to build itself as Asia's risk hub</t>
        </is>
      </c>
      <c r="F422" t="inlineStr">
        <is>
          <t>Hong Kong's Insurance Authority is advancing a five-year plan featuring a possible protected-cell structure for captives, a review of investor restrictions on ILS funds, and expanded cover for emerging sectors like gold storage and green-fuel bunkering, building on roughly $800 million in ILS issued since its dedicated regime launched in 2021.</t>
        </is>
      </c>
      <c r="G422" t="inlineStr">
        <is>
          <t>The Insurer</t>
        </is>
      </c>
      <c r="H422" t="inlineStr">
        <is>
          <t>https://www.theinsurer.com/ti/news/hong-kong-eyes-captive-ils-expansion-in-push-to-build-asia-risk-hub-2026-09-17/</t>
        </is>
      </c>
      <c r="I422" t="inlineStr">
        <is>
          <t>2026-09-17</t>
        </is>
      </c>
    </row>
    <row r="423">
      <c r="A423" t="inlineStr">
        <is>
          <t>2026-09-24</t>
        </is>
      </c>
      <c r="B423" t="inlineStr">
        <is>
          <t>Property &amp; Casualty</t>
        </is>
      </c>
      <c r="C423" t="inlineStr">
        <is>
          <t>Regulatory &amp; Policy</t>
        </is>
      </c>
      <c r="D423" t="inlineStr">
        <is>
          <t>United States</t>
        </is>
      </c>
      <c r="E423" t="inlineStr">
        <is>
          <t>US House committee advances bill to bar CFPB from regulating insurance</t>
        </is>
      </c>
      <c r="F423" t="inlineStr">
        <is>
          <t>The House Financial Services Committee voted September 16 to advance legislation that would explicitly prevent the Consumer Financial Protection Bureau from entering state insurance regulation and require it to defer to state regulators on insurance matters.</t>
        </is>
      </c>
      <c r="G423" t="inlineStr">
        <is>
          <t>Insurance Journal</t>
        </is>
      </c>
      <c r="H423" t="inlineStr">
        <is>
          <t>https://www.insurancejournal.com/news/national/2026/09/17/885376.htm</t>
        </is>
      </c>
      <c r="I423" t="inlineStr">
        <is>
          <t>2026-09-17</t>
        </is>
      </c>
    </row>
    <row r="424">
      <c r="A424" t="inlineStr">
        <is>
          <t>2026-09-24</t>
        </is>
      </c>
      <c r="B424" t="inlineStr">
        <is>
          <t>Insurtech</t>
        </is>
      </c>
      <c r="C424" t="inlineStr">
        <is>
          <t>Technology &amp; AI</t>
        </is>
      </c>
      <c r="D424" t="inlineStr">
        <is>
          <t>India</t>
        </is>
      </c>
      <c r="E424" t="inlineStr">
        <is>
          <t>India's NeoProEd Insurance Conclave to convene sector leaders at GIFT City</t>
        </is>
      </c>
      <c r="F424" t="inlineStr">
        <is>
          <t>The NeoProEd Insurance Conclave 2026, held with the GIFT International FinTech Institute, brings together India's insurance industry leaders at GIFT City, Gandhinagar on September 25, focused on how technology, AI, data and GIFT City's growth are reshaping how insurance is built and distributed in India.</t>
        </is>
      </c>
      <c r="G424" t="inlineStr">
        <is>
          <t>Business Standard</t>
        </is>
      </c>
      <c r="H424" t="inlineStr">
        <is>
          <t>https://www.business-standard.com/amp/content/press-releases-ani/neoproed-insurance-conclave-2026-to-bring-india-s-insurance-ecosystem-together-at-gift-city-126092100817_1.html</t>
        </is>
      </c>
      <c r="I424" t="inlineStr">
        <is>
          <t>2026-09-21</t>
        </is>
      </c>
    </row>
    <row r="425">
      <c r="A425" t="inlineStr">
        <is>
          <t>2026-09-24</t>
        </is>
      </c>
      <c r="B425" t="inlineStr">
        <is>
          <t>Healthcare / Provider &amp; Clinical</t>
        </is>
      </c>
      <c r="C425" t="inlineStr">
        <is>
          <t>Technology &amp; AI</t>
        </is>
      </c>
      <c r="D425" t="inlineStr">
        <is>
          <t>United States</t>
        </is>
      </c>
      <c r="E425" t="inlineStr">
        <is>
          <t>Cleveland Clinic AI Summit spotlights AI's expanding clinical footprint</t>
        </is>
      </c>
      <c r="F425" t="inlineStr">
        <is>
          <t>Cleveland Clinic's annual AI Summit showcased how artificial intelligence is moving deeper into clinical workflows, from documentation and predictive analytics to imaging and operations, as health systems scale pilots into production tools.</t>
        </is>
      </c>
      <c r="G425" t="inlineStr">
        <is>
          <t>Cleveland Clinic Newsroom</t>
        </is>
      </c>
      <c r="H425" t="inlineStr">
        <is>
          <t>https://newsroom.clevelandclinic.org/2026/08/28/cleveland-clinic-ai-summit-highlights-growing-role-of-artificial-intelligence-in-healthcare</t>
        </is>
      </c>
      <c r="I425" t="inlineStr">
        <is>
          <t>2026-08-28</t>
        </is>
      </c>
    </row>
    <row r="426">
      <c r="A426" t="inlineStr">
        <is>
          <t>2026-09-24</t>
        </is>
      </c>
      <c r="B426" t="inlineStr">
        <is>
          <t>Healthcare / Provider &amp; Clinical</t>
        </is>
      </c>
      <c r="C426" t="inlineStr">
        <is>
          <t>M&amp;A</t>
        </is>
      </c>
      <c r="D426" t="inlineStr">
        <is>
          <t>United States</t>
        </is>
      </c>
      <c r="E426" t="inlineStr">
        <is>
          <t>WVU Medicine set to close $800M acquisition of five-hospital Pennsylvania system</t>
        </is>
      </c>
      <c r="F426" t="inlineStr">
        <is>
          <t>WVU Health System's definitive agreement to acquire Independence Health System's five western Pennsylvania hospitals, serving more than 750,000 residents, is expected to close in late September or early October, backed by an $800 million investment commitment for a new EHR system, facility upgrades and expanded clinical capabilities.</t>
        </is>
      </c>
      <c r="G426" t="inlineStr">
        <is>
          <t>Becker's Hospital Review</t>
        </is>
      </c>
      <c r="H426" t="inlineStr">
        <is>
          <t>https://www.beckershospitalreview.com/hospital-transactions-and-valuation/wvu-medicine-signs-definitive-agreement-for-pennsylvania-system-pledges-800m-investment/</t>
        </is>
      </c>
      <c r="I426" t="inlineStr">
        <is>
          <t>2026-09-24</t>
        </is>
      </c>
    </row>
    <row r="427">
      <c r="A427" t="inlineStr">
        <is>
          <t>2026-09-25</t>
        </is>
      </c>
      <c r="B427" t="inlineStr">
        <is>
          <t>Life &amp; Annuities</t>
        </is>
      </c>
      <c r="C427" t="inlineStr">
        <is>
          <t>Technology &amp; AI</t>
        </is>
      </c>
      <c r="D427" t="inlineStr">
        <is>
          <t>United States</t>
        </is>
      </c>
      <c r="E427" t="inlineStr">
        <is>
          <t>Global Atlantic debuts ForeLifetime Income fixed indexed annuity</t>
        </is>
      </c>
      <c r="F427" t="inlineStr">
        <is>
          <t>Global Atlantic launched ForeLifetime Income, a new fixed indexed annuity built for the independent marketing organization channel that aims to give savers clearer visibility into how their balance converts into guaranteed lifetime income.</t>
        </is>
      </c>
      <c r="G427" t="inlineStr">
        <is>
          <t>InsuranceNewsNet</t>
        </is>
      </c>
      <c r="H427" t="inlineStr">
        <is>
          <t>https://insurancenewsnet.com/oarticle/global-atlantic-announces-launch-of-forelifetime-income-a-new-fixed-index-annuity</t>
        </is>
      </c>
      <c r="I427" t="inlineStr">
        <is>
          <t>2026-09-21</t>
        </is>
      </c>
    </row>
    <row r="428">
      <c r="A428" t="inlineStr">
        <is>
          <t>2026-09-25</t>
        </is>
      </c>
      <c r="B428" t="inlineStr">
        <is>
          <t>Life &amp; Annuities</t>
        </is>
      </c>
      <c r="C428" t="inlineStr">
        <is>
          <t>Market Economics</t>
        </is>
      </c>
      <c r="D428" t="inlineStr">
        <is>
          <t>United States</t>
        </is>
      </c>
      <c r="E428" t="inlineStr">
        <is>
          <t>September Fed move nudges annuity crediting rates lower</t>
        </is>
      </c>
      <c r="F428" t="inlineStr">
        <is>
          <t>After the Fed's quarter-point cut in September pushed the federal funds target to 3.75%-4.00%, top multi-year guaranteed annuity offers eased slightly, though carriers are expected to lower rates only gradually through the rest of 2026.</t>
        </is>
      </c>
      <c r="G428" t="inlineStr">
        <is>
          <t>MyAnnuityStore</t>
        </is>
      </c>
      <c r="H428" t="inlineStr">
        <is>
          <t>https://myannuitystore.com/fed-rate-hike-annuity-rates-september-2026/</t>
        </is>
      </c>
      <c r="I428" t="inlineStr">
        <is>
          <t>2026-09-16</t>
        </is>
      </c>
    </row>
    <row r="429">
      <c r="A429" t="inlineStr">
        <is>
          <t>2026-09-25</t>
        </is>
      </c>
      <c r="B429" t="inlineStr">
        <is>
          <t>Retirement</t>
        </is>
      </c>
      <c r="C429" t="inlineStr">
        <is>
          <t>Technology &amp; AI</t>
        </is>
      </c>
      <c r="D429" t="inlineStr">
        <is>
          <t>United States</t>
        </is>
      </c>
      <c r="E429" t="inlineStr">
        <is>
          <t>FIS rolls out fully cloud-native retirement recordkeeping platform</t>
        </is>
      </c>
      <c r="F429" t="inlineStr">
        <is>
          <t>FIS launched a modernized, cloud-native version of its retirement recordkeeping system, aiming to help plan providers cut infrastructure costs and speed up feature delivery as competition on recordkeeping fees intensifies.</t>
        </is>
      </c>
      <c r="G429" t="inlineStr">
        <is>
          <t>401(k) Specialist</t>
        </is>
      </c>
      <c r="H429" t="inlineStr">
        <is>
          <t>https://401kspecialistmag.com/fis-offers-fully-cloud-native-retirement-recordkeeping-system/</t>
        </is>
      </c>
      <c r="I429" t="inlineStr">
        <is>
          <t>2026-09-10</t>
        </is>
      </c>
    </row>
    <row r="430">
      <c r="A430" t="inlineStr">
        <is>
          <t>2026-09-25</t>
        </is>
      </c>
      <c r="B430" t="inlineStr">
        <is>
          <t>Wealth Management</t>
        </is>
      </c>
      <c r="C430" t="inlineStr">
        <is>
          <t>Market Economics</t>
        </is>
      </c>
      <c r="D430" t="inlineStr">
        <is>
          <t>United States</t>
        </is>
      </c>
      <c r="E430" t="inlineStr">
        <is>
          <t>RIA M&amp;A activity slows 19% in the third quarter</t>
        </is>
      </c>
      <c r="F430" t="inlineStr">
        <is>
          <t>Wealth management M&amp;A activity cooled notably in Q3 2026 as market volatility prompted many advisory firm owners to delay sale processes, though analysts point to a pipeline of more than 15 deals expected to close within six months.</t>
        </is>
      </c>
      <c r="G430" t="inlineStr">
        <is>
          <t>WealthManagement.com</t>
        </is>
      </c>
      <c r="H430" t="inlineStr">
        <is>
          <t>https://www.wealthmanagement.com/ria-news/ria-ma-activity-slows-19-in-third-quarter</t>
        </is>
      </c>
      <c r="I430" t="inlineStr">
        <is>
          <t>2026-09-22</t>
        </is>
      </c>
    </row>
    <row r="431">
      <c r="A431" t="inlineStr">
        <is>
          <t>2026-09-25</t>
        </is>
      </c>
      <c r="B431" t="inlineStr">
        <is>
          <t>Wealth Management</t>
        </is>
      </c>
      <c r="C431" t="inlineStr">
        <is>
          <t>M&amp;A</t>
        </is>
      </c>
      <c r="D431" t="inlineStr">
        <is>
          <t>United States</t>
        </is>
      </c>
      <c r="E431" t="inlineStr">
        <is>
          <t>Captrust adds $1.2 billion in double deal for two Long Island RIAs</t>
        </is>
      </c>
      <c r="F431" t="inlineStr">
        <is>
          <t>Captrust, a Raleigh-based RIA managing more than $1 trillion, acquired Compass Advisors and Long Island Wealth Management together, adding roughly $1.2 billion in client assets and seven advisors to its New York presence.</t>
        </is>
      </c>
      <c r="G431" t="inlineStr">
        <is>
          <t>WealthManagement.com</t>
        </is>
      </c>
      <c r="H431" t="inlineStr">
        <is>
          <t>https://www.wealthmanagement.com/ria-news/captrust-acquires-two-new-york-rias-with-12b</t>
        </is>
      </c>
      <c r="I431" t="inlineStr">
        <is>
          <t>2026-09-23</t>
        </is>
      </c>
    </row>
    <row r="432">
      <c r="A432" t="inlineStr">
        <is>
          <t>2026-09-25</t>
        </is>
      </c>
      <c r="B432" t="inlineStr">
        <is>
          <t>Wealth Management</t>
        </is>
      </c>
      <c r="C432" t="inlineStr">
        <is>
          <t>M&amp;A</t>
        </is>
      </c>
      <c r="D432" t="inlineStr">
        <is>
          <t>United States</t>
        </is>
      </c>
      <c r="E432" t="inlineStr">
        <is>
          <t>Envestnet to acquire wealthtech provider Vestmark</t>
        </is>
      </c>
      <c r="F432" t="inlineStr">
        <is>
          <t>Envestnet agreed to acquire Vestmark, a portfolio management and trading technology provider supporting more than $2 trillion in assets across five million-plus accounts, bringing institutional-grade trading and tax-transition tools into Envestnet's ecosystem.</t>
        </is>
      </c>
      <c r="G432" t="inlineStr">
        <is>
          <t>WealthManagement.com</t>
        </is>
      </c>
      <c r="H432" t="inlineStr">
        <is>
          <t>https://www.wealthmanagement.com/advisor-support-platforms/envestnet-acquires-vestmark-in-wealth-tech-deal</t>
        </is>
      </c>
      <c r="I432" t="inlineStr">
        <is>
          <t>2026-09-09</t>
        </is>
      </c>
    </row>
    <row r="433">
      <c r="A433" t="inlineStr">
        <is>
          <t>2026-09-25</t>
        </is>
      </c>
      <c r="B433" t="inlineStr">
        <is>
          <t>Wealth Management</t>
        </is>
      </c>
      <c r="C433" t="inlineStr">
        <is>
          <t>M&amp;A</t>
        </is>
      </c>
      <c r="D433" t="inlineStr">
        <is>
          <t>United States</t>
        </is>
      </c>
      <c r="E433" t="inlineStr">
        <is>
          <t>Aquiline to take controlling stake in MassMutual's Flourish wealthtech platform</t>
        </is>
      </c>
      <c r="F433" t="inlineStr">
        <is>
          <t>Aquiline agreed to invest in and take a controlling interest in Flourish, a wealthtech platform currently owned by MassMutual that gives RIAs private-bank-like cash and credit solutions for clients; MassMutual will retain a minority stake.</t>
        </is>
      </c>
      <c r="G433" t="inlineStr">
        <is>
          <t>PR Newswire</t>
        </is>
      </c>
      <c r="H433" t="inlineStr">
        <is>
          <t>https://www.prnewswire.com/news-releases/aquiline-to-invest-in-flourish-a-leading-wealthtech-platform-for-independent-advisors-302867632.html</t>
        </is>
      </c>
      <c r="I433" t="inlineStr">
        <is>
          <t>2026-09-02</t>
        </is>
      </c>
    </row>
    <row r="434">
      <c r="A434" t="inlineStr">
        <is>
          <t>2026-09-25</t>
        </is>
      </c>
      <c r="B434" t="inlineStr">
        <is>
          <t>Property &amp; Casualty</t>
        </is>
      </c>
      <c r="C434" t="inlineStr">
        <is>
          <t>M&amp;A</t>
        </is>
      </c>
      <c r="D434" t="inlineStr">
        <is>
          <t>UK/Europe</t>
        </is>
      </c>
      <c r="E434" t="inlineStr">
        <is>
          <t>Zurich's $10.9 billion Beazley deal headlines reinsurance consolidation wave</t>
        </is>
      </c>
      <c r="F434" t="inlineStr">
        <is>
          <t>Zurich's pending $10.9 billion purchase of Lloyd's specialty (re)insurer Beazley is being cited as a bellwether for further reinsurance M&amp;A, as surplus capital and a softening market push firms toward scale-driven consolidation.</t>
        </is>
      </c>
      <c r="G434" t="inlineStr">
        <is>
          <t>Insurance Journal</t>
        </is>
      </c>
      <c r="H434" t="inlineStr">
        <is>
          <t>https://www.insurancejournal.com/news/international/2026/09/08/884291.htm</t>
        </is>
      </c>
      <c r="I434" t="inlineStr">
        <is>
          <t>2026-09-08</t>
        </is>
      </c>
    </row>
    <row r="435">
      <c r="A435" t="inlineStr">
        <is>
          <t>2026-09-25</t>
        </is>
      </c>
      <c r="B435" t="inlineStr">
        <is>
          <t>Brokers &amp; MGA/GA</t>
        </is>
      </c>
      <c r="C435" t="inlineStr">
        <is>
          <t>Market Economics</t>
        </is>
      </c>
      <c r="D435" t="inlineStr">
        <is>
          <t>United States</t>
        </is>
      </c>
      <c r="E435" t="inlineStr">
        <is>
          <t>Hagerty posts H1 2026 loss on one-time Markel fronting-transition costs</t>
        </is>
      </c>
      <c r="F435" t="inlineStr">
        <is>
          <t>Specialty program administrator Hagerty reported a $5 million first-half 2026 net loss driven almost entirely by $153 million in pre-tax transitional costs as it moved to assume 100% of underwriting economics under its restructured Markel fronting arrangement.</t>
        </is>
      </c>
      <c r="G435" t="inlineStr">
        <is>
          <t>StockTitan (SEC filing)</t>
        </is>
      </c>
      <c r="H435" t="inlineStr">
        <is>
          <t>https://www.stocktitan.net/sec-filings/HGTY/8-k-hagerty-inc-reports-material-event-39a7c07544f7.html</t>
        </is>
      </c>
      <c r="I435" t="inlineStr">
        <is>
          <t>2026-08-10</t>
        </is>
      </c>
    </row>
    <row r="436">
      <c r="A436" t="inlineStr">
        <is>
          <t>2026-09-25</t>
        </is>
      </c>
      <c r="B436" t="inlineStr">
        <is>
          <t>TPA</t>
        </is>
      </c>
      <c r="C436" t="inlineStr">
        <is>
          <t>Technology &amp; AI</t>
        </is>
      </c>
      <c r="D436" t="inlineStr">
        <is>
          <t>UK/Europe</t>
        </is>
      </c>
      <c r="E436" t="inlineStr">
        <is>
          <t>VCA Software and Vitesse link claims workflows directly to payments</t>
        </is>
      </c>
      <c r="F436" t="inlineStr">
        <is>
          <t>Claims management platform VCA Software partnered with payments infrastructure provider Vitesse so carriers, MGAs and TPAs can move a claim from approval to payout in a single workflow, removing manual re-entry for Lloyd's delegated-authority business.</t>
        </is>
      </c>
      <c r="G436" t="inlineStr">
        <is>
          <t>VCA Software</t>
        </is>
      </c>
      <c r="H436" t="inlineStr">
        <is>
          <t>https://vcasoftware.com/vca-software-and-vitesse-announce-strategic-partnership-to-connect-claims-management-and-insurance-payments/</t>
        </is>
      </c>
      <c r="I436" t="inlineStr">
        <is>
          <t>2026-09-16</t>
        </is>
      </c>
    </row>
    <row r="437">
      <c r="A437" t="inlineStr">
        <is>
          <t>2026-09-25</t>
        </is>
      </c>
      <c r="B437" t="inlineStr">
        <is>
          <t>FinTech</t>
        </is>
      </c>
      <c r="C437" t="inlineStr">
        <is>
          <t>Investments &amp; Funding</t>
        </is>
      </c>
      <c r="D437" t="inlineStr">
        <is>
          <t>Global</t>
        </is>
      </c>
      <c r="E437" t="inlineStr">
        <is>
          <t>UAE's Synapse Analytics raises $13 million for AI credit-decisioning platform</t>
        </is>
      </c>
      <c r="F437" t="inlineStr">
        <is>
          <t>Abu Dhabi-based Synapse Analytics raised a $13 million Series A led by Partech to expand its AI decisioning infrastructure, which helps banks and other regulated financial institutions automate credit, fraud and AML decisions across the Middle East, Africa and Latin America.</t>
        </is>
      </c>
      <c r="G437" t="inlineStr">
        <is>
          <t>TechMoran</t>
        </is>
      </c>
      <c r="H437" t="inlineStr">
        <is>
          <t>https://techmoran.com/2026/09/15/uaes-synapse-analytics-raises-13m-to-drive-ai-powered-decisioning-for-fintechs/</t>
        </is>
      </c>
      <c r="I437" t="inlineStr">
        <is>
          <t>2026-09-15</t>
        </is>
      </c>
    </row>
    <row r="438">
      <c r="A438" t="inlineStr">
        <is>
          <t>2026-09-25</t>
        </is>
      </c>
      <c r="B438" t="inlineStr">
        <is>
          <t>BrokerTech</t>
        </is>
      </c>
      <c r="C438" t="inlineStr">
        <is>
          <t>Technology &amp; AI</t>
        </is>
      </c>
      <c r="D438" t="inlineStr">
        <is>
          <t>United States</t>
        </is>
      </c>
      <c r="E438" t="inlineStr">
        <is>
          <t>Patra launches AI-powered managed services for insurance agencies</t>
        </is>
      </c>
      <c r="F438" t="inlineStr">
        <is>
          <t>Patra rolled out a new suite of AI-powered managed services aimed at helping independent insurance agencies automate back-office and policy servicing workflows.</t>
        </is>
      </c>
      <c r="G438" t="inlineStr">
        <is>
          <t>FinTech Global</t>
        </is>
      </c>
      <c r="H438" t="inlineStr">
        <is>
          <t>https://fintech.global/2026/09/17/patra-launches-ai-powered-managed-services-for-insurers/</t>
        </is>
      </c>
      <c r="I438" t="inlineStr">
        <is>
          <t>2026-09-17</t>
        </is>
      </c>
    </row>
    <row r="439">
      <c r="A439" t="inlineStr">
        <is>
          <t>2026-09-25</t>
        </is>
      </c>
      <c r="B439" t="inlineStr">
        <is>
          <t>Insurtech</t>
        </is>
      </c>
      <c r="C439" t="inlineStr">
        <is>
          <t>Technology &amp; AI</t>
        </is>
      </c>
      <c r="D439" t="inlineStr">
        <is>
          <t>APAC</t>
        </is>
      </c>
      <c r="E439" t="inlineStr">
        <is>
          <t>Peak3 launches Graphene Harness to speed insurance software delivery with AI</t>
        </is>
      </c>
      <c r="F439" t="inlineStr">
        <is>
          <t>Peak3 introduced Graphene Harness, described as the industry's first AI-driven delivery lifecycle tool for insurance technology, which the company says is already cutting build and maintenance costs by 50% with an ambition to reach 80%.</t>
        </is>
      </c>
      <c r="G439" t="inlineStr">
        <is>
          <t>FinTech Global</t>
        </is>
      </c>
      <c r="H439" t="inlineStr">
        <is>
          <t>https://fintech.global/2026/09/25/peak3-shifts-insurance-tech-from-code-to-production/</t>
        </is>
      </c>
      <c r="I439" t="inlineStr">
        <is>
          <t>2026-09-25</t>
        </is>
      </c>
    </row>
    <row r="440">
      <c r="A440" t="inlineStr">
        <is>
          <t>2026-09-25</t>
        </is>
      </c>
      <c r="B440" t="inlineStr">
        <is>
          <t>Health Insurance / Payer</t>
        </is>
      </c>
      <c r="C440" t="inlineStr">
        <is>
          <t>Regulatory &amp; Policy</t>
        </is>
      </c>
      <c r="D440" t="inlineStr">
        <is>
          <t>United States</t>
        </is>
      </c>
      <c r="E440" t="inlineStr">
        <is>
          <t>UnitedHealthcare to drop prior authorization on 1,700 codes</t>
        </is>
      </c>
      <c r="F440" t="inlineStr">
        <is>
          <t>UnitedHealthcare will eliminate prior authorization requirements for 1,700 procedure codes starting October 1, spanning commercial, Medicare Advantage, Medicaid and ACA plans, as part of its pledge to cut prior-auth volume 30% by year-end.</t>
        </is>
      </c>
      <c r="G440" t="inlineStr">
        <is>
          <t>Becker's Payer Issues</t>
        </is>
      </c>
      <c r="H440" t="inlineStr">
        <is>
          <t>https://www.beckerspayer.com/policy-updates/unitedhealthcare-to-drop-prior-authorization-requirements-for-1700-services/</t>
        </is>
      </c>
      <c r="I440" t="inlineStr">
        <is>
          <t>2026-09-19</t>
        </is>
      </c>
    </row>
    <row r="441">
      <c r="A441" t="inlineStr">
        <is>
          <t>2026-09-25</t>
        </is>
      </c>
      <c r="B441" t="inlineStr">
        <is>
          <t>Health Insurance / Payer</t>
        </is>
      </c>
      <c r="C441" t="inlineStr">
        <is>
          <t>Regulatory &amp; Policy</t>
        </is>
      </c>
      <c r="D441" t="inlineStr">
        <is>
          <t>United States</t>
        </is>
      </c>
      <c r="E441" t="inlineStr">
        <is>
          <t>Villages Health System agrees to $541.5 million Medicare Advantage fraud settlement</t>
        </is>
      </c>
      <c r="F441" t="inlineStr">
        <is>
          <t>The Villages Health System agreed to a $541.5 million False Claims Act settlement with the Department of Justice over allegations it manufactured fake diagnosis codes for Medicare Advantage patients between 2020 and 2024, inflating payments from Humana, UnitedHealthcare and Blue Cross Blue Shield of Florida.</t>
        </is>
      </c>
      <c r="G441" t="inlineStr">
        <is>
          <t>U.S. Department of Justice</t>
        </is>
      </c>
      <c r="H441" t="inlineStr">
        <is>
          <t>https://www.justice.gov/opa/pr/villages-health-system-llc-agrees-5415m-settlement-resolve-false-claims-act-allegations</t>
        </is>
      </c>
      <c r="I441" t="inlineStr">
        <is>
          <t>2026-09-02</t>
        </is>
      </c>
    </row>
    <row r="442">
      <c r="A442" t="inlineStr">
        <is>
          <t>2026-09-25</t>
        </is>
      </c>
      <c r="B442" t="inlineStr">
        <is>
          <t>Health Insurance / Payer</t>
        </is>
      </c>
      <c r="C442" t="inlineStr">
        <is>
          <t>M&amp;A</t>
        </is>
      </c>
      <c r="D442" t="inlineStr">
        <is>
          <t>United States</t>
        </is>
      </c>
      <c r="E442" t="inlineStr">
        <is>
          <t>Centene's Health Net to exit commercial group market in California and Oregon</t>
        </is>
      </c>
      <c r="F442" t="inlineStr">
        <is>
          <t>Centene subsidiary Health Net is withdrawing from the traditional commercial employer-group insurance market in California and Oregon to focus on government-sponsored plans, with existing group coverage generally ending by February 2027.</t>
        </is>
      </c>
      <c r="G442" t="inlineStr">
        <is>
          <t>Healthcare Finance News</t>
        </is>
      </c>
      <c r="H442" t="inlineStr">
        <is>
          <t>https://www.healthcarefinancenews.com/news/centenes-health-net-exits-commercial-group-market-2-states</t>
        </is>
      </c>
      <c r="I442" t="inlineStr">
        <is>
          <t>2026-09-03</t>
        </is>
      </c>
    </row>
    <row r="443">
      <c r="A443" t="inlineStr">
        <is>
          <t>2026-09-25</t>
        </is>
      </c>
      <c r="B443" t="inlineStr">
        <is>
          <t>Healthcare / Provider &amp; Clinical</t>
        </is>
      </c>
      <c r="C443" t="inlineStr">
        <is>
          <t>M&amp;A</t>
        </is>
      </c>
      <c r="D443" t="inlineStr">
        <is>
          <t>United States</t>
        </is>
      </c>
      <c r="E443" t="inlineStr">
        <is>
          <t>Sanford Health and North Memorial Health finalize merger</t>
        </is>
      </c>
      <c r="F443" t="inlineStr">
        <is>
          <t>Sanford Health and North Memorial Health completed their merger, giving Sanford its first foothold in the Twin Cities and committing $600 million in Minnesota facility investment over the next decade, including preserving Robbinsdale Hospital's Level I trauma center status.</t>
        </is>
      </c>
      <c r="G443" t="inlineStr">
        <is>
          <t>Sanford Health News</t>
        </is>
      </c>
      <c r="H443" t="inlineStr">
        <is>
          <t>https://news.sanfordhealth.org/news/sanford-health-north-memorial-health-complete-partnership/</t>
        </is>
      </c>
      <c r="I443" t="inlineStr">
        <is>
          <t>2026-09-01</t>
        </is>
      </c>
    </row>
    <row r="444">
      <c r="A444" t="inlineStr">
        <is>
          <t>2026-09-25</t>
        </is>
      </c>
      <c r="B444" t="inlineStr">
        <is>
          <t>Healthcare / Provider &amp; Clinical</t>
        </is>
      </c>
      <c r="C444" t="inlineStr">
        <is>
          <t>M&amp;A</t>
        </is>
      </c>
      <c r="D444" t="inlineStr">
        <is>
          <t>United States</t>
        </is>
      </c>
      <c r="E444" t="inlineStr">
        <is>
          <t>WVU Health System to acquire Independence Health System's five Pennsylvania hospitals</t>
        </is>
      </c>
      <c r="F444" t="inlineStr">
        <is>
          <t>West Virginia University Health System expects to close its roughly $800 million acquisition of Independence Health System's five western Pennsylvania hospitals in late September or early October, extending its footprint to more than 750,000 residents across the region.</t>
        </is>
      </c>
      <c r="G444" t="inlineStr">
        <is>
          <t>Healthcare Finance News</t>
        </is>
      </c>
      <c r="H444" t="inlineStr">
        <is>
          <t>https://www.healthcarefinancenews.com/news/wvu-health-system-acquire-independence-health-system</t>
        </is>
      </c>
      <c r="I444" t="inlineStr">
        <is>
          <t>2026-09-23</t>
        </is>
      </c>
    </row>
    <row r="445">
      <c r="A445" t="inlineStr">
        <is>
          <t>2026-09-25</t>
        </is>
      </c>
      <c r="B445" t="inlineStr">
        <is>
          <t>Healthcare / Provider &amp; Clinical</t>
        </is>
      </c>
      <c r="C445" t="inlineStr">
        <is>
          <t>Technology &amp; AI</t>
        </is>
      </c>
      <c r="D445" t="inlineStr">
        <is>
          <t>United States</t>
        </is>
      </c>
      <c r="E445" t="inlineStr">
        <is>
          <t>UNC Health and Duke Health launch statewide AI network for rural hospitals</t>
        </is>
      </c>
      <c r="F445" t="inlineStr">
        <is>
          <t>UNC Health, Duke Health and partners launched NC CHAIN, a three-year, $4.4 million Duke Endowment-funded network to help rural and critical-access hospitals evaluate and safely implement AI tools they lack the in-house expertise to vet alone.</t>
        </is>
      </c>
      <c r="G445" t="inlineStr">
        <is>
          <t>UNC-Chapel Hill</t>
        </is>
      </c>
      <c r="H445" t="inlineStr">
        <is>
          <t>https://www.unc.edu/posts/2026/09/22/statewide-network-launches-to-help-rural-and-critical-access-providers-harness-ai-for-better-patient-care/</t>
        </is>
      </c>
      <c r="I445" t="inlineStr">
        <is>
          <t>2026-09-22</t>
        </is>
      </c>
    </row>
    <row r="446">
      <c r="A446" t="inlineStr">
        <is>
          <t>2026-09-25</t>
        </is>
      </c>
      <c r="B446" t="inlineStr">
        <is>
          <t>Healthcare / Provider &amp; Clinical</t>
        </is>
      </c>
      <c r="C446" t="inlineStr">
        <is>
          <t>People &amp; Leadership</t>
        </is>
      </c>
      <c r="D446" t="inlineStr">
        <is>
          <t>United States</t>
        </is>
      </c>
      <c r="E446" t="inlineStr">
        <is>
          <t>Allina Health doctors reach deal after strike centered on AI oversight</t>
        </is>
      </c>
      <c r="F446" t="inlineStr">
        <is>
          <t>About 150 unionized Allina Health physicians ended a four-day strike at Mercy and Unity hospitals with a tentative first contract that includes pay transparency and greater professional autonomy, after AI's growing role in diagnosis and billing became a central bargaining issue.</t>
        </is>
      </c>
      <c r="G446" t="inlineStr">
        <is>
          <t>MPR News</t>
        </is>
      </c>
      <c r="H446" t="inlineStr">
        <is>
          <t>https://www.mprnews.org/story/2026/09/24/allina-health-reaches-tentative-deal-with-unionized-doctors-after-four-day-strike</t>
        </is>
      </c>
      <c r="I446" t="inlineStr">
        <is>
          <t>2026-09-24</t>
        </is>
      </c>
    </row>
    <row r="447">
      <c r="A447" t="inlineStr">
        <is>
          <t>2026-09-25</t>
        </is>
      </c>
      <c r="B447" t="inlineStr">
        <is>
          <t>Life &amp; Annuities</t>
        </is>
      </c>
      <c r="C447" t="inlineStr">
        <is>
          <t>Regulatory &amp; Policy</t>
        </is>
      </c>
      <c r="D447" t="inlineStr">
        <is>
          <t>India</t>
        </is>
      </c>
      <c r="E447" t="inlineStr">
        <is>
          <t>India's insurance stocks slide after IRDAI proposes commission caps</t>
        </is>
      </c>
      <c r="F447" t="inlineStr">
        <is>
          <t>Shares of Indian insurers and distributors, including PB Fintech, tumbled after the insurance regulator proposed caps on commissions and tighter management-expense limits, erasing roughly $13.8 billion in combined market value and raising the prospect of broker consolidation.</t>
        </is>
      </c>
      <c r="G447" t="inlineStr">
        <is>
          <t>Bloomberg</t>
        </is>
      </c>
      <c r="H447" t="inlineStr">
        <is>
          <t>https://www.bloomberg.com/news/articles/2026-09-24/pb-fintech-leads-slump-in-india-insurance-stocks-on-fee-cap-plan</t>
        </is>
      </c>
      <c r="I447" t="inlineStr">
        <is>
          <t>2026-09-24</t>
        </is>
      </c>
    </row>
    <row r="448">
      <c r="A448" t="inlineStr">
        <is>
          <t>2026-09-26</t>
        </is>
      </c>
      <c r="B448" t="inlineStr">
        <is>
          <t>Life &amp; Annuities</t>
        </is>
      </c>
      <c r="C448" t="inlineStr">
        <is>
          <t>Regulatory &amp; Policy</t>
        </is>
      </c>
      <c r="D448" t="inlineStr">
        <is>
          <t>UK/Europe</t>
        </is>
      </c>
      <c r="E448" t="inlineStr">
        <is>
          <t>Brussels agrees to push back high-risk AI Act rules for life and health insurance pricing to late 2027</t>
        </is>
      </c>
      <c r="F448" t="inlineStr">
        <is>
          <t>A political deal on the 'AI Omnibus' extends compliance deadlines for high-risk AI systems used in life and health insurance underwriting and pricing from August 2026 to December 2027, giving insurers more runway to adapt.</t>
        </is>
      </c>
      <c r="G448" t="inlineStr">
        <is>
          <t>Decode the Future</t>
        </is>
      </c>
      <c r="H448" t="inlineStr">
        <is>
          <t>https://decodethefuture.org/en/eu-ai-act-explained/</t>
        </is>
      </c>
      <c r="I448" t="inlineStr">
        <is>
          <t>2026-07-27</t>
        </is>
      </c>
    </row>
    <row r="449">
      <c r="A449" t="inlineStr">
        <is>
          <t>2026-09-26</t>
        </is>
      </c>
      <c r="B449" t="inlineStr">
        <is>
          <t>Retirement</t>
        </is>
      </c>
      <c r="C449" t="inlineStr">
        <is>
          <t>M&amp;A</t>
        </is>
      </c>
      <c r="D449" t="inlineStr">
        <is>
          <t>United States</t>
        </is>
      </c>
      <c r="E449" t="inlineStr">
        <is>
          <t>Advisors brace for the next wave of 401(k) recordkeeper consolidation</t>
        </is>
      </c>
      <c r="F449" t="inlineStr">
        <is>
          <t>Continued fee pressure and provider exits are pushing retirement recordkeeping toward further consolidation, creating transition risk for advisors and their plan-sponsor clients as due-diligence reviews accelerate.</t>
        </is>
      </c>
      <c r="G449" t="inlineStr">
        <is>
          <t>WealthManagement.com</t>
        </is>
      </c>
      <c r="H449" t="inlineStr">
        <is>
          <t>https://www.wealthmanagement.com/rpa-news/how-to-prepare-for-the-next-wave-of-401-k-record-keeper-consolidation</t>
        </is>
      </c>
      <c r="I449" t="inlineStr">
        <is>
          <t>2026-09-10</t>
        </is>
      </c>
    </row>
    <row r="450">
      <c r="A450" t="inlineStr">
        <is>
          <t>2026-09-26</t>
        </is>
      </c>
      <c r="B450" t="inlineStr">
        <is>
          <t>Wealth Management</t>
        </is>
      </c>
      <c r="C450" t="inlineStr">
        <is>
          <t>Technology &amp; AI</t>
        </is>
      </c>
      <c r="D450" t="inlineStr">
        <is>
          <t>United States</t>
        </is>
      </c>
      <c r="E450" t="inlineStr">
        <is>
          <t>Savvy Wealth debuts AI-native custodial platform for independent RIAs</t>
        </is>
      </c>
      <c r="F450" t="inlineStr">
        <is>
          <t>The AI-focused wealth platform's new custodial offering lets RIA owners onboard clients in as little as 90 seconds and transfer assets in a few clicks, aiming to compete directly with legacy custodians.</t>
        </is>
      </c>
      <c r="G450" t="inlineStr">
        <is>
          <t>Fintech Global</t>
        </is>
      </c>
      <c r="H450" t="inlineStr">
        <is>
          <t>https://fintech.global/2026/09/25/savvy-wealth-unveils-custodial-platform-for-independent-rias/</t>
        </is>
      </c>
      <c r="I450" t="inlineStr">
        <is>
          <t>2026-09-25</t>
        </is>
      </c>
    </row>
    <row r="451">
      <c r="A451" t="inlineStr">
        <is>
          <t>2026-09-26</t>
        </is>
      </c>
      <c r="B451" t="inlineStr">
        <is>
          <t>Property &amp; Casualty</t>
        </is>
      </c>
      <c r="C451" t="inlineStr">
        <is>
          <t>Market Economics</t>
        </is>
      </c>
      <c r="D451" t="inlineStr">
        <is>
          <t>United States</t>
        </is>
      </c>
      <c r="E451" t="inlineStr">
        <is>
          <t>US P&amp;C industry posts $31.7 billion underwriting gain in H1 2026 as premium growth cools</t>
        </is>
      </c>
      <c r="F451" t="inlineStr">
        <is>
          <t>Net income after taxes rose 53% to $77.8 billion even as net written premium growth slowed to 2.1%, with commercial rates easing for the first time in nearly nine years while casualty lines stay under pressure.</t>
        </is>
      </c>
      <c r="G451" t="inlineStr">
        <is>
          <t>Carrier Management</t>
        </is>
      </c>
      <c r="H451" t="inlineStr">
        <is>
          <t>https://www.carriermanagement.com/news/2026/09/03/291650.htm</t>
        </is>
      </c>
      <c r="I451" t="inlineStr">
        <is>
          <t>2026-09-03</t>
        </is>
      </c>
    </row>
    <row r="452">
      <c r="A452" t="inlineStr">
        <is>
          <t>2026-09-26</t>
        </is>
      </c>
      <c r="B452" t="inlineStr">
        <is>
          <t>Property &amp; Casualty</t>
        </is>
      </c>
      <c r="C452" t="inlineStr">
        <is>
          <t>Market Economics</t>
        </is>
      </c>
      <c r="D452" t="inlineStr">
        <is>
          <t>Global</t>
        </is>
      </c>
      <c r="E452" t="inlineStr">
        <is>
          <t>Reinsurance buyers push ILS investors to broaden mandates as capacity floods the market</t>
        </is>
      </c>
      <c r="F452" t="inlineStr">
        <is>
          <t>Speaking at the Monte Carlo Rendez-Vous, Marsh Securities' CEO warned that alternative-capital investors risk losing relevance with cedents unless they widen their risk appetite in a softening reinsurance market.</t>
        </is>
      </c>
      <c r="G452" t="inlineStr">
        <is>
          <t>Artemis.bm</t>
        </is>
      </c>
      <c r="H452" t="inlineStr">
        <is>
          <t>https://www.artemis.bm/news/best-of-artemis-week-ending-september-20th-2026/</t>
        </is>
      </c>
      <c r="I452" t="inlineStr">
        <is>
          <t>2026-09-20</t>
        </is>
      </c>
    </row>
    <row r="453">
      <c r="A453" t="inlineStr">
        <is>
          <t>2026-09-26</t>
        </is>
      </c>
      <c r="B453" t="inlineStr">
        <is>
          <t>Property &amp; Casualty</t>
        </is>
      </c>
      <c r="C453" t="inlineStr">
        <is>
          <t>Investments &amp; Funding</t>
        </is>
      </c>
      <c r="D453" t="inlineStr">
        <is>
          <t>United States</t>
        </is>
      </c>
      <c r="E453" t="inlineStr">
        <is>
          <t>Palomar secures $410 million cat bond via new Torrey Pines Re vehicle</t>
        </is>
      </c>
      <c r="F453" t="inlineStr">
        <is>
          <t>The specialty P&amp;C insurer tapped the catastrophe bond market for $410 million of reinsurance protection, adding to a record year for cat bond issuance amid abundant capacity from institutional investors.</t>
        </is>
      </c>
      <c r="G453" t="inlineStr">
        <is>
          <t>Artemis.bm</t>
        </is>
      </c>
      <c r="H453" t="inlineStr">
        <is>
          <t>https://www.artemis.bm/news/palomar-secures-410m-of-reinsurance-from-torrey-pines-re-2026-1-catastrophe-bond/</t>
        </is>
      </c>
      <c r="I453" t="inlineStr">
        <is>
          <t>2026-09-19</t>
        </is>
      </c>
    </row>
    <row r="454">
      <c r="A454" t="inlineStr">
        <is>
          <t>2026-09-26</t>
        </is>
      </c>
      <c r="B454" t="inlineStr">
        <is>
          <t>Property &amp; Casualty</t>
        </is>
      </c>
      <c r="C454" t="inlineStr">
        <is>
          <t>Market Economics</t>
        </is>
      </c>
      <c r="D454" t="inlineStr">
        <is>
          <t>United States</t>
        </is>
      </c>
      <c r="E454" t="inlineStr">
        <is>
          <t>Domestic cyber claims jump 40% as years of pricing softness come to an end</t>
        </is>
      </c>
      <c r="F454" t="inlineStr">
        <is>
          <t>Nearly 50,000 cyber claims were filed in the past year as attackers shift from ransomware encryption to data-theft extortion, with analysts predicting premiums could rise 15-20% after three years of falling rates.</t>
        </is>
      </c>
      <c r="G454" t="inlineStr">
        <is>
          <t>Security Today</t>
        </is>
      </c>
      <c r="H454" t="inlineStr">
        <is>
          <t>https://securitytoday.com/articles/2026/09/23/cyber-insurance-costs-set-to-rise-amid-surging-claims.aspx</t>
        </is>
      </c>
      <c r="I454" t="inlineStr">
        <is>
          <t>2026-09-23</t>
        </is>
      </c>
    </row>
    <row r="455">
      <c r="A455" t="inlineStr">
        <is>
          <t>2026-09-26</t>
        </is>
      </c>
      <c r="B455" t="inlineStr">
        <is>
          <t>Property &amp; Casualty</t>
        </is>
      </c>
      <c r="C455" t="inlineStr">
        <is>
          <t>People &amp; Leadership</t>
        </is>
      </c>
      <c r="D455" t="inlineStr">
        <is>
          <t>United States</t>
        </is>
      </c>
      <c r="E455" t="inlineStr">
        <is>
          <t>AIG names Sierra Signorelli CEO of the Americas and global personal insurance</t>
        </is>
      </c>
      <c r="F455" t="inlineStr">
        <is>
          <t>The former Zurich executive will oversee AIG's North America, Latin America and Caribbean commercial business plus its global personal lines starting January 2027, in one of the year's biggest carrier leadership moves.</t>
        </is>
      </c>
      <c r="G455" t="inlineStr">
        <is>
          <t>The Insurer</t>
        </is>
      </c>
      <c r="H455" t="inlineStr">
        <is>
          <t>https://www.theinsurer.com/ti/news/aig-names-signorelli-ceo-of-americas-and-global-personal-insurance-2026-09-21/</t>
        </is>
      </c>
      <c r="I455" t="inlineStr">
        <is>
          <t>2026-09-21</t>
        </is>
      </c>
    </row>
    <row r="456">
      <c r="A456" t="inlineStr">
        <is>
          <t>2026-09-26</t>
        </is>
      </c>
      <c r="B456" t="inlineStr">
        <is>
          <t>Property &amp; Casualty</t>
        </is>
      </c>
      <c r="C456" t="inlineStr">
        <is>
          <t>People &amp; Leadership</t>
        </is>
      </c>
      <c r="D456" t="inlineStr">
        <is>
          <t>APAC</t>
        </is>
      </c>
      <c r="E456" t="inlineStr">
        <is>
          <t>HDI Global adds three underwriting and risk hires as it expands in Singapore</t>
        </is>
      </c>
      <c r="F456" t="inlineStr">
        <is>
          <t>The commercial specialty insurer strengthened its international-programmes and political-and-credit-risk teams in Singapore as it pushes further into APAC captive and renewable-energy business.</t>
        </is>
      </c>
      <c r="G456" t="inlineStr">
        <is>
          <t>(Re)in Asia</t>
        </is>
      </c>
      <c r="H456" t="inlineStr">
        <is>
          <t>https://reinasia.com/hdi-global-expands-singapore-underwriting-capabilities-with-three-appointments/</t>
        </is>
      </c>
      <c r="I456" t="inlineStr">
        <is>
          <t>2026-09-22</t>
        </is>
      </c>
    </row>
    <row r="457">
      <c r="A457" t="inlineStr">
        <is>
          <t>2026-09-26</t>
        </is>
      </c>
      <c r="B457" t="inlineStr">
        <is>
          <t>Property &amp; Casualty</t>
        </is>
      </c>
      <c r="C457" t="inlineStr">
        <is>
          <t>Regulatory &amp; Policy</t>
        </is>
      </c>
      <c r="D457" t="inlineStr">
        <is>
          <t>UK/Europe</t>
        </is>
      </c>
      <c r="E457" t="inlineStr">
        <is>
          <t>PRA and FCA hold roundtable on tailored UK captive insurance regime</t>
        </is>
      </c>
      <c r="F457" t="inlineStr">
        <is>
          <t>Regulators discussed proposals for a bespoke, lower-capital regulatory track for single-parent captives, part of a UK push to become a more competitive captive insurance domicile; the consultation closes in mid-October.</t>
        </is>
      </c>
      <c r="G457" t="inlineStr">
        <is>
          <t>Bank of England</t>
        </is>
      </c>
      <c r="H457" t="inlineStr">
        <is>
          <t>https://www.bankofengland.co.uk/prudential-regulation/publication/2026/august/pra-holds-captive-insurance-industry-roundtable</t>
        </is>
      </c>
      <c r="I457" t="inlineStr">
        <is>
          <t>2026-09-17</t>
        </is>
      </c>
    </row>
    <row r="458">
      <c r="A458" t="inlineStr">
        <is>
          <t>2026-09-26</t>
        </is>
      </c>
      <c r="B458" t="inlineStr">
        <is>
          <t>Brokers &amp; MGA/GA</t>
        </is>
      </c>
      <c r="C458" t="inlineStr">
        <is>
          <t>M&amp;A</t>
        </is>
      </c>
      <c r="D458" t="inlineStr">
        <is>
          <t>United States</t>
        </is>
      </c>
      <c r="E458" t="inlineStr">
        <is>
          <t>Sequel buys Austin-based Watkins Insurance Group as agency M&amp;A pace cools</t>
        </is>
      </c>
      <c r="F458" t="inlineStr">
        <is>
          <t>The deal comes as US insurance-agency acquisition volume slowed roughly 15% year-over-year in the first half of 2026, according to OPTIS Partners, even as strategic and private-equity-backed buyers keep consolidating.</t>
        </is>
      </c>
      <c r="G458" t="inlineStr">
        <is>
          <t>Insurance Journal</t>
        </is>
      </c>
      <c r="H458" t="inlineStr">
        <is>
          <t>https://www.insurancejournal.com/magazines/mag-features/2026/09/21/885532.htm</t>
        </is>
      </c>
      <c r="I458" t="inlineStr">
        <is>
          <t>2026-09-21</t>
        </is>
      </c>
    </row>
    <row r="459">
      <c r="A459" t="inlineStr">
        <is>
          <t>2026-09-26</t>
        </is>
      </c>
      <c r="B459" t="inlineStr">
        <is>
          <t>Brokers &amp; MGA/GA</t>
        </is>
      </c>
      <c r="C459" t="inlineStr">
        <is>
          <t>Technology &amp; AI</t>
        </is>
      </c>
      <c r="D459" t="inlineStr">
        <is>
          <t>United States</t>
        </is>
      </c>
      <c r="E459" t="inlineStr">
        <is>
          <t>CRC Group bundles cyber, tech E&amp;O and professional liability into one policy form</t>
        </is>
      </c>
      <c r="F459" t="inlineStr">
        <is>
          <t>The wholesale broker's new Insurisk Cyber solution combines several specialty coverages into a single streamlined form as clients look to simplify buying amid rising cyber rates.</t>
        </is>
      </c>
      <c r="G459" t="inlineStr">
        <is>
          <t>The Insurer</t>
        </is>
      </c>
      <c r="H459" t="inlineStr">
        <is>
          <t>https://www.theinsurer.com/cyber-risk/news/crc-launches-insurisk-cyber-solution-2026-09-22/</t>
        </is>
      </c>
      <c r="I459" t="inlineStr">
        <is>
          <t>2026-09-22</t>
        </is>
      </c>
    </row>
    <row r="460">
      <c r="A460" t="inlineStr">
        <is>
          <t>2026-09-26</t>
        </is>
      </c>
      <c r="B460" t="inlineStr">
        <is>
          <t>FinTech</t>
        </is>
      </c>
      <c r="C460" t="inlineStr">
        <is>
          <t>Investments &amp; Funding</t>
        </is>
      </c>
      <c r="D460" t="inlineStr">
        <is>
          <t>UK/Europe</t>
        </is>
      </c>
      <c r="E460" t="inlineStr">
        <is>
          <t>FintechOS raises fresh funding to fund US expansion after turning profitable</t>
        </is>
      </c>
      <c r="F460" t="inlineStr">
        <is>
          <t>The financial-services technology platform, used by insurers and banks to build digital products, confirmed it turned profitable while lifting recurring revenue 40% year-on-year, and will use new capital to grow in the US.</t>
        </is>
      </c>
      <c r="G460" t="inlineStr">
        <is>
          <t>Fintech Global</t>
        </is>
      </c>
      <c r="H460" t="inlineStr">
        <is>
          <t>https://fintech.global/2026/09/21/fintechos-raises-28m-to-fund-us-expansion/</t>
        </is>
      </c>
      <c r="I460" t="inlineStr">
        <is>
          <t>2026-09-21</t>
        </is>
      </c>
    </row>
    <row r="461">
      <c r="A461" t="inlineStr">
        <is>
          <t>2026-09-26</t>
        </is>
      </c>
      <c r="B461" t="inlineStr">
        <is>
          <t>FinTech</t>
        </is>
      </c>
      <c r="C461" t="inlineStr">
        <is>
          <t>Technology &amp; AI</t>
        </is>
      </c>
      <c r="D461" t="inlineStr">
        <is>
          <t>Global</t>
        </is>
      </c>
      <c r="E461" t="inlineStr">
        <is>
          <t>Open and Embedded Insurance Observatory convenes carriers and banks on distribution's next phase</t>
        </is>
      </c>
      <c r="F461" t="inlineStr">
        <is>
          <t>A plenary session at AWS's New York headquarters brought together AXA Partners, Allianz Partners, AIG, Swisscom, Vodafone Fastweb and others to discuss where open and embedded insurance is headed next.</t>
        </is>
      </c>
      <c r="G461" t="inlineStr">
        <is>
          <t>Open &amp; Embedded Insurance Observatory</t>
        </is>
      </c>
      <c r="H461" t="inlineStr">
        <is>
          <t>https://openinsuranceobs.substack.com/p/the-monthly-newsletter-of-the-open-fae</t>
        </is>
      </c>
      <c r="I461" t="inlineStr">
        <is>
          <t>2026-09-22</t>
        </is>
      </c>
    </row>
    <row r="462">
      <c r="A462" t="inlineStr">
        <is>
          <t>2026-09-26</t>
        </is>
      </c>
      <c r="B462" t="inlineStr">
        <is>
          <t>Insurtech</t>
        </is>
      </c>
      <c r="C462" t="inlineStr">
        <is>
          <t>Investments &amp; Funding</t>
        </is>
      </c>
      <c r="D462" t="inlineStr">
        <is>
          <t>United States</t>
        </is>
      </c>
      <c r="E462" t="inlineStr">
        <is>
          <t>Soteris raises $8 million seed round to plug hidden P&amp;C profit leaks with machine learning</t>
        </is>
      </c>
      <c r="F462" t="inlineStr">
        <is>
          <t>The YC-backed startup's round was led by Spider Capital with participation from Intact Private Capital, Amplify Partners, DCVC, the Webb Investment Network and Overlook Ventures.</t>
        </is>
      </c>
      <c r="G462" t="inlineStr">
        <is>
          <t>Fintech Global</t>
        </is>
      </c>
      <c r="H462" t="inlineStr">
        <is>
          <t>https://fintech.global/2026/09/22/soteris-raises-8m-seed-to-fix-hidden-pc-profit-leaks/</t>
        </is>
      </c>
      <c r="I462" t="inlineStr">
        <is>
          <t>2026-09-22</t>
        </is>
      </c>
    </row>
    <row r="463">
      <c r="A463" t="inlineStr">
        <is>
          <t>2026-09-26</t>
        </is>
      </c>
      <c r="B463" t="inlineStr">
        <is>
          <t>Insurtech</t>
        </is>
      </c>
      <c r="C463" t="inlineStr">
        <is>
          <t>Regulatory &amp; Policy</t>
        </is>
      </c>
      <c r="D463" t="inlineStr">
        <is>
          <t>India</t>
        </is>
      </c>
      <c r="E463" t="inlineStr">
        <is>
          <t>Indian insurtech and insurer stocks crash as IRDAI proposes sweeping distribution overhaul</t>
        </is>
      </c>
      <c r="F463" t="inlineStr">
        <is>
          <t>PB Fintech (Policybazaar) and Turtlemint Fintech tumbled roughly 20-30% after IRDAI floated capping insurer expense-of-management ratios and tightening commission and loan-bundling rules, also hitting HDFC Life and ICICI Prudential Life shares.</t>
        </is>
      </c>
      <c r="G463" t="inlineStr">
        <is>
          <t>Investing.com</t>
        </is>
      </c>
      <c r="H463" t="inlineStr">
        <is>
          <t>https://www.investing.com/news/stock-market-news/indian-insurance-stocks-crash-on-regulatory-overhaul-fears-4914440</t>
        </is>
      </c>
      <c r="I463" t="inlineStr">
        <is>
          <t>2026-09-24</t>
        </is>
      </c>
    </row>
    <row r="464">
      <c r="A464" t="inlineStr">
        <is>
          <t>2026-09-26</t>
        </is>
      </c>
      <c r="B464" t="inlineStr">
        <is>
          <t>Health Insurance / Payer</t>
        </is>
      </c>
      <c r="C464" t="inlineStr">
        <is>
          <t>Market Economics</t>
        </is>
      </c>
      <c r="D464" t="inlineStr">
        <is>
          <t>United States</t>
        </is>
      </c>
      <c r="E464" t="inlineStr">
        <is>
          <t>Employers brace for a 15-year-high jump in group health benefit costs as ACA marketplace enrollment falls</t>
        </is>
      </c>
      <c r="F464" t="inlineStr">
        <is>
          <t>Purchaser surveys point to 6-7% premium increases for 2026 even as more than 1 million fewer people enrolled in ACA marketplace coverage than in 2025, a gap expected to widen as subsidy changes take hold.</t>
        </is>
      </c>
      <c r="G464" t="inlineStr">
        <is>
          <t>SHRM</t>
        </is>
      </c>
      <c r="H464" t="inlineStr">
        <is>
          <t>https://www.shrm.org/topics-tools/news/benefits-compensation/employers-brace-15-year-high-health-benefit-cost-hike</t>
        </is>
      </c>
      <c r="I464" t="inlineStr">
        <is>
          <t>2026-09-10</t>
        </is>
      </c>
    </row>
    <row r="465">
      <c r="A465" t="inlineStr">
        <is>
          <t>2026-09-26</t>
        </is>
      </c>
      <c r="B465" t="inlineStr">
        <is>
          <t>Healthcare / Provider &amp; Clinical</t>
        </is>
      </c>
      <c r="C465" t="inlineStr">
        <is>
          <t>M&amp;A</t>
        </is>
      </c>
      <c r="D465" t="inlineStr">
        <is>
          <t>United States</t>
        </is>
      </c>
      <c r="E465" t="inlineStr">
        <is>
          <t>WVU Medicine set to close $800 million acquisition of five-hospital Independence Health System</t>
        </is>
      </c>
      <c r="F465" t="inlineStr">
        <is>
          <t>The deal, expected to close in late September or early October, will bring the combined system to 30 hospitals and more than $8 billion in annual operating revenue, with $800 million earmarked for facility upgrades.</t>
        </is>
      </c>
      <c r="G465" t="inlineStr">
        <is>
          <t>Becker's Hospital Review</t>
        </is>
      </c>
      <c r="H465" t="inlineStr">
        <is>
          <t>https://www.beckershospitalreview.com/hospital-transactions-and-valuation/wvu-health-system-to-acquire-5-hospital-pennsylvania-system/</t>
        </is>
      </c>
      <c r="I465" t="inlineStr">
        <is>
          <t>2026-09-20</t>
        </is>
      </c>
    </row>
    <row r="466">
      <c r="A466" t="inlineStr">
        <is>
          <t>2026-09-26</t>
        </is>
      </c>
      <c r="B466" t="inlineStr">
        <is>
          <t>Healthcare / Provider &amp; Clinical</t>
        </is>
      </c>
      <c r="C466" t="inlineStr">
        <is>
          <t>Technology &amp; AI</t>
        </is>
      </c>
      <c r="D466" t="inlineStr">
        <is>
          <t>United States</t>
        </is>
      </c>
      <c r="E466" t="inlineStr">
        <is>
          <t>VA awards Abridge a $775 million enterprise contract for ambient clinical documentation</t>
        </is>
      </c>
      <c r="F466" t="inlineStr">
        <is>
          <t>The Department of Veterans Affairs selected Abridge's ambient AI scribe technology in one of the largest healthcare AI contracts of the year, as adoption of clinical documentation AI accelerates across large health systems.</t>
        </is>
      </c>
      <c r="G466" t="inlineStr">
        <is>
          <t>HIStalk</t>
        </is>
      </c>
      <c r="H466" t="inlineStr">
        <is>
          <t>https://histalk2.com/2026/09/23/healthcare-ai-news-9-23-26/</t>
        </is>
      </c>
      <c r="I466" t="inlineStr">
        <is>
          <t>2026-09-22</t>
        </is>
      </c>
    </row>
    <row r="467">
      <c r="A467" t="inlineStr">
        <is>
          <t>2026-09-26</t>
        </is>
      </c>
      <c r="B467" t="inlineStr">
        <is>
          <t>Healthcare / Provider &amp; Clinical</t>
        </is>
      </c>
      <c r="C467" t="inlineStr">
        <is>
          <t>Regulatory &amp; Policy</t>
        </is>
      </c>
      <c r="D467" t="inlineStr">
        <is>
          <t>United States</t>
        </is>
      </c>
      <c r="E467" t="inlineStr">
        <is>
          <t>Hackensack Meridian Health completes first Joint Commission AI certification review</t>
        </is>
      </c>
      <c r="F467" t="inlineStr">
        <is>
          <t>The review covered the health system's inventory of AI tools, risk assessments, ongoing monitoring and patient-data protections, setting an early template for how hospitals will be audited on AI governance.</t>
        </is>
      </c>
      <c r="G467" t="inlineStr">
        <is>
          <t>Healthcare Brew</t>
        </is>
      </c>
      <c r="H467" t="inlineStr">
        <is>
          <t>https://www.healthcare-brew.com/stories/ai-411-september-2026</t>
        </is>
      </c>
      <c r="I467" t="inlineStr">
        <is>
          <t>2026-09-18</t>
        </is>
      </c>
    </row>
    <row r="468">
      <c r="A468" t="inlineStr">
        <is>
          <t>2026-09-27</t>
        </is>
      </c>
      <c r="B468" t="inlineStr">
        <is>
          <t>Life &amp; Annuities</t>
        </is>
      </c>
      <c r="C468" t="inlineStr">
        <is>
          <t>Market Economics</t>
        </is>
      </c>
      <c r="D468" t="inlineStr">
        <is>
          <t>United States</t>
        </is>
      </c>
      <c r="E468" t="inlineStr">
        <is>
          <t>LIMRA: Annuity sales hit new heights in the second quarter of 2026</t>
        </is>
      </c>
      <c r="F468" t="inlineStr">
        <is>
          <t>LIMRA reports Q2 2026 total annuity sales reached $123.9 billion, pushing year-to-date sales to $231.3 billion, about 2% ahead of the first half of 2025, as guaranteed income products keep gaining ground with the growing wave of Americans turning 65.</t>
        </is>
      </c>
      <c r="G468" t="inlineStr">
        <is>
          <t>PLANADVISER</t>
        </is>
      </c>
      <c r="H468" t="inlineStr">
        <is>
          <t>https://www.planadviser.com/?p=122039</t>
        </is>
      </c>
      <c r="I468" t="inlineStr">
        <is>
          <t>2026-09-15</t>
        </is>
      </c>
    </row>
    <row r="469">
      <c r="A469" t="inlineStr">
        <is>
          <t>2026-09-27</t>
        </is>
      </c>
      <c r="B469" t="inlineStr">
        <is>
          <t>Retirement</t>
        </is>
      </c>
      <c r="C469" t="inlineStr">
        <is>
          <t>M&amp;A</t>
        </is>
      </c>
      <c r="D469" t="inlineStr">
        <is>
          <t>United States</t>
        </is>
      </c>
      <c r="E469" t="inlineStr">
        <is>
          <t>PCS Retirement expands via acquisition of Aspire Financial Services</t>
        </is>
      </c>
      <c r="F469" t="inlineStr">
        <is>
          <t>PCS Retirement has agreed to acquire Aspire Financial Services, the latest in a string of recordkeeper mergers as scale becomes increasingly important for surviving margin pressure in the defined-contribution plan market.</t>
        </is>
      </c>
      <c r="G469" t="inlineStr">
        <is>
          <t>401(k) Specialist</t>
        </is>
      </c>
      <c r="H469" t="inlineStr">
        <is>
          <t>https://401kspecialistmag.com/recordkeeper-merger-pcs-retirement-acquires-aspire-financial-services/</t>
        </is>
      </c>
      <c r="I469" t="inlineStr">
        <is>
          <t>2026-09-10</t>
        </is>
      </c>
    </row>
    <row r="470">
      <c r="A470" t="inlineStr">
        <is>
          <t>2026-09-27</t>
        </is>
      </c>
      <c r="B470" t="inlineStr">
        <is>
          <t>Retirement</t>
        </is>
      </c>
      <c r="C470" t="inlineStr">
        <is>
          <t>Regulatory &amp; Policy</t>
        </is>
      </c>
      <c r="D470" t="inlineStr">
        <is>
          <t>United States</t>
        </is>
      </c>
      <c r="E470" t="inlineStr">
        <is>
          <t>Insured Retirement Institute unveils 2026 Retirement Security Blueprint</t>
        </is>
      </c>
      <c r="F470" t="inlineStr">
        <is>
          <t>The Insured Retirement Institute released its 2026 Retirement Security Blueprint, outlining policy priorities aimed at expanding access to guaranteed lifetime income products as more Americans reach retirement age without pension coverage.</t>
        </is>
      </c>
      <c r="G470" t="inlineStr">
        <is>
          <t>Insured Retirement Institute</t>
        </is>
      </c>
      <c r="H470" t="inlineStr">
        <is>
          <t>https://www.irionline.org/news/article/iri-announces-its-2026-retirement-security-blueprint/</t>
        </is>
      </c>
      <c r="I470" t="inlineStr">
        <is>
          <t>2026-09-20</t>
        </is>
      </c>
    </row>
    <row r="471">
      <c r="A471" t="inlineStr">
        <is>
          <t>2026-09-27</t>
        </is>
      </c>
      <c r="B471" t="inlineStr">
        <is>
          <t>Investments</t>
        </is>
      </c>
      <c r="C471" t="inlineStr">
        <is>
          <t>Market Economics</t>
        </is>
      </c>
      <c r="D471" t="inlineStr">
        <is>
          <t>Global</t>
        </is>
      </c>
      <c r="E471" t="inlineStr">
        <is>
          <t>Moody's: insurers set to sharply boost private credit allocations</t>
        </is>
      </c>
      <c r="F471" t="inlineStr">
        <is>
          <t>A Moody's survey finds 42% of US insurers and 36% of UK and European insurers plan to increase private credit exposure over the next one to two years, even as private credit's insurance footprint grows to roughly $1.4 trillion and sits mostly outside traditional supervisory oversight.</t>
        </is>
      </c>
      <c r="G471" t="inlineStr">
        <is>
          <t>Alternative Credit Investor</t>
        </is>
      </c>
      <c r="H471" t="inlineStr">
        <is>
          <t>https://alternativecreditinvestor.com/2026/09/18/moodys-insurers-set-to-boost-private-credit-allocations/</t>
        </is>
      </c>
      <c r="I471" t="inlineStr">
        <is>
          <t>2026-09-18</t>
        </is>
      </c>
    </row>
    <row r="472">
      <c r="A472" t="inlineStr">
        <is>
          <t>2026-09-27</t>
        </is>
      </c>
      <c r="B472" t="inlineStr">
        <is>
          <t>Wealth Management</t>
        </is>
      </c>
      <c r="C472" t="inlineStr">
        <is>
          <t>M&amp;A</t>
        </is>
      </c>
      <c r="D472" t="inlineStr">
        <is>
          <t>United States</t>
        </is>
      </c>
      <c r="E472" t="inlineStr">
        <is>
          <t>Modern Wealth notches sixth acquisition of 2026 with California RIA deal</t>
        </is>
      </c>
      <c r="F472" t="inlineStr">
        <is>
          <t>Serial consolidator Modern Wealth has acquired AWA Wealth Management, a California-based registered investment advisor overseeing about $290 million in client assets, marking the firm's sixth acquisition of 2026.</t>
        </is>
      </c>
      <c r="G472" t="inlineStr">
        <is>
          <t>InvestmentNews</t>
        </is>
      </c>
      <c r="H472" t="inlineStr">
        <is>
          <t>https://www.investmentnews.com/ria-news/modern-wealth-acquires-california-ria-in-sixth-deal-of-2026/268333</t>
        </is>
      </c>
      <c r="I472" t="inlineStr">
        <is>
          <t>2026-09-24</t>
        </is>
      </c>
    </row>
    <row r="473">
      <c r="A473" t="inlineStr">
        <is>
          <t>2026-09-27</t>
        </is>
      </c>
      <c r="B473" t="inlineStr">
        <is>
          <t>Property &amp; Casualty</t>
        </is>
      </c>
      <c r="C473" t="inlineStr">
        <is>
          <t>People &amp; Leadership</t>
        </is>
      </c>
      <c r="D473" t="inlineStr">
        <is>
          <t>United States</t>
        </is>
      </c>
      <c r="E473" t="inlineStr">
        <is>
          <t>Plymouth Rock Assurance names Chris Taylor president and CEO</t>
        </is>
      </c>
      <c r="F473" t="inlineStr">
        <is>
          <t>Boston-based Plymouth Rock Assurance Corp. has named Chris Taylor as its new president and chief executive officer, a leadership change at the regional personal-lines insurer.</t>
        </is>
      </c>
      <c r="G473" t="inlineStr">
        <is>
          <t>Insurance Journal</t>
        </is>
      </c>
      <c r="H473" t="inlineStr">
        <is>
          <t>https://www.insurancejournal.com/2026/09/page/4/</t>
        </is>
      </c>
      <c r="I473" t="inlineStr">
        <is>
          <t>2026-09-26</t>
        </is>
      </c>
    </row>
    <row r="474">
      <c r="A474" t="inlineStr">
        <is>
          <t>2026-09-27</t>
        </is>
      </c>
      <c r="B474" t="inlineStr">
        <is>
          <t>Brokers &amp; MGA/GA</t>
        </is>
      </c>
      <c r="C474" t="inlineStr">
        <is>
          <t>Regulatory &amp; Policy</t>
        </is>
      </c>
      <c r="D474" t="inlineStr">
        <is>
          <t>India</t>
        </is>
      </c>
      <c r="E474" t="inlineStr">
        <is>
          <t>IRDAI proposes tighter commission caps as distributor payouts outpace premiums</t>
        </is>
      </c>
      <c r="F474" t="inlineStr">
        <is>
          <t>India's insurance regulator has proposed reviving product-level commission caps and tightening insurers' overall expense limits after finding distributor payouts to agents, brokers and banks grew 259% since 2023 reforms while premiums rose just 34%.</t>
        </is>
      </c>
      <c r="G474" t="inlineStr">
        <is>
          <t>Business Today</t>
        </is>
      </c>
      <c r="H474" t="inlineStr">
        <is>
          <t>https://www.businesstoday.in/latest/corporate/story/insurance-commissions-grew-up-to-6-times-faster-than-premiums-what-irdai-wants-to-change-558050-2026-09-26</t>
        </is>
      </c>
      <c r="I474" t="inlineStr">
        <is>
          <t>2026-09-26</t>
        </is>
      </c>
    </row>
    <row r="475">
      <c r="A475" t="inlineStr">
        <is>
          <t>2026-09-27</t>
        </is>
      </c>
      <c r="B475" t="inlineStr">
        <is>
          <t>Brokers &amp; MGA/GA</t>
        </is>
      </c>
      <c r="C475" t="inlineStr">
        <is>
          <t>Market Economics</t>
        </is>
      </c>
      <c r="D475" t="inlineStr">
        <is>
          <t>United States</t>
        </is>
      </c>
      <c r="E475" t="inlineStr">
        <is>
          <t>Zacks flags Willis Towers Watson, Aon, Gallagher and Brown &amp; Brown as broker earnings momentum builds</t>
        </is>
      </c>
      <c r="F475" t="inlineStr">
        <is>
          <t>A Zacks industry outlook highlights strengthening fundamentals across major insurance brokers, with Willis Towers Watson posting a 13% rise in adjusted EBITDA and consensus estimates pointing to double-digit earnings growth across the group heading into 2026 results.</t>
        </is>
      </c>
      <c r="G475" t="inlineStr">
        <is>
          <t>Zacks (via Yahoo Finance)</t>
        </is>
      </c>
      <c r="H475" t="inlineStr">
        <is>
          <t>https://finance.yahoo.com/markets/stocks/articles/zacks-industry-outlook-highlights-willis-093500386.html</t>
        </is>
      </c>
      <c r="I475" t="inlineStr">
        <is>
          <t>2026-09-25</t>
        </is>
      </c>
    </row>
    <row r="476">
      <c r="A476" t="inlineStr">
        <is>
          <t>2026-09-27</t>
        </is>
      </c>
      <c r="B476" t="inlineStr">
        <is>
          <t>FinTech</t>
        </is>
      </c>
      <c r="C476" t="inlineStr">
        <is>
          <t>Investments &amp; Funding</t>
        </is>
      </c>
      <c r="D476" t="inlineStr">
        <is>
          <t>Global</t>
        </is>
      </c>
      <c r="E476" t="inlineStr">
        <is>
          <t>Two $400 million mega-rounds anchor this week's fintech funding tally</t>
        </is>
      </c>
      <c r="F476" t="inlineStr">
        <is>
          <t>A pair of $400 million funding rounds led this week's fintech investment activity, underscoring continued investor appetite for trust-heavy sectors including insurance software, cyber and regulated financial infrastructure.</t>
        </is>
      </c>
      <c r="G476" t="inlineStr">
        <is>
          <t>FinTech Global</t>
        </is>
      </c>
      <c r="H476" t="inlineStr">
        <is>
          <t>https://fintech.global/2026/09/25/400m-rounds-drive-this-weeks-fintech-funding/</t>
        </is>
      </c>
      <c r="I476" t="inlineStr">
        <is>
          <t>2026-09-25</t>
        </is>
      </c>
    </row>
    <row r="477">
      <c r="A477" t="inlineStr">
        <is>
          <t>2026-09-27</t>
        </is>
      </c>
      <c r="B477" t="inlineStr">
        <is>
          <t>Insurtech</t>
        </is>
      </c>
      <c r="C477" t="inlineStr">
        <is>
          <t>M&amp;A</t>
        </is>
      </c>
      <c r="D477" t="inlineStr">
        <is>
          <t>United States</t>
        </is>
      </c>
      <c r="E477" t="inlineStr">
        <is>
          <t>Hellman &amp; Friedman explores sale of insurance software provider Applied Systems</t>
        </is>
      </c>
      <c r="F477" t="inlineStr">
        <is>
          <t>Private equity firm Hellman &amp; Friedman is exploring a sale of Applied Systems, a major insurance agency management software provider, in a sign of continued consolidation activity across insurance technology.</t>
        </is>
      </c>
      <c r="G477" t="inlineStr">
        <is>
          <t>Insurance Journal</t>
        </is>
      </c>
      <c r="H477" t="inlineStr">
        <is>
          <t>https://www.insurancejournal.com/2026/09/page/4/</t>
        </is>
      </c>
      <c r="I477" t="inlineStr">
        <is>
          <t>2026-09-25</t>
        </is>
      </c>
    </row>
    <row r="478">
      <c r="A478" t="inlineStr">
        <is>
          <t>2026-09-27</t>
        </is>
      </c>
      <c r="B478" t="inlineStr">
        <is>
          <t>Insurtech</t>
        </is>
      </c>
      <c r="C478" t="inlineStr">
        <is>
          <t>Investments &amp; Funding</t>
        </is>
      </c>
      <c r="D478" t="inlineStr">
        <is>
          <t>United States</t>
        </is>
      </c>
      <c r="E478" t="inlineStr">
        <is>
          <t>AI underwriting standard-setter named to 2026 Insurtech 50 after $40 million Series A</t>
        </is>
      </c>
      <c r="F478" t="inlineStr">
        <is>
          <t>An AI-agent underwriting standards company that raised a $40 million Series A this year was named among CB Insights' 2026 Insurtech 50, reflecting a broader shift toward specialist AI underwriting startups over generalist insurtechs.</t>
        </is>
      </c>
      <c r="G478" t="inlineStr">
        <is>
          <t>CB Insights</t>
        </is>
      </c>
      <c r="H478" t="inlineStr">
        <is>
          <t>https://www.cbinsights.com/research/report/top-insurtech-startups-2026/</t>
        </is>
      </c>
      <c r="I478" t="inlineStr">
        <is>
          <t>2026-09-01</t>
        </is>
      </c>
    </row>
    <row r="479">
      <c r="A479" t="inlineStr">
        <is>
          <t>2026-09-27</t>
        </is>
      </c>
      <c r="B479" t="inlineStr">
        <is>
          <t>Health Insurance / Payer</t>
        </is>
      </c>
      <c r="C479" t="inlineStr">
        <is>
          <t>Market Economics</t>
        </is>
      </c>
      <c r="D479" t="inlineStr">
        <is>
          <t>United States</t>
        </is>
      </c>
      <c r="E479" t="inlineStr">
        <is>
          <t>Health insurance premiums on track for biggest jump in 24 years</t>
        </is>
      </c>
      <c r="F479" t="inlineStr">
        <is>
          <t>Health insurance premiums are on pace for their sharpest annual increase in 24 years, driven by rising medical costs and insurers rebuilding margins after several years of elevated utilization.</t>
        </is>
      </c>
      <c r="G479" t="inlineStr">
        <is>
          <t>InsuranceNewsNet</t>
        </is>
      </c>
      <c r="H479" t="inlineStr">
        <is>
          <t>https://insurancenewsnet.com/oarticle/health-insurance-premiums-set-for-biggest-jump-in-24-years-2</t>
        </is>
      </c>
      <c r="I479" t="inlineStr">
        <is>
          <t>2026-09-20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2026-09-27T10:23:25Z</dcterms:created>
  <dcterms:modified xsi:type="dcterms:W3CDTF">2026-09-27T10:23:25Z</dcterms:modified>
</cp:coreProperties>
</file>