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Data"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font>
    <font>
      <name val="Arial"/>
      <sz val="10"/>
    </font>
    <font>
      <name val="Arial"/>
      <b val="1"/>
      <color rgb="0000294D"/>
      <sz val="14"/>
    </font>
    <font>
      <name val="Arial"/>
      <b val="1"/>
    </font>
    <font>
      <name val="Arial"/>
      <b val="1"/>
      <color rgb="000067B1"/>
    </font>
    <font>
      <name val="Arial"/>
      <b val="1"/>
      <color rgb="0000294D"/>
      <sz val="12"/>
    </font>
    <font>
      <name val="Arial"/>
    </font>
  </fonts>
  <fills count="3">
    <fill>
      <patternFill/>
    </fill>
    <fill>
      <patternFill patternType="gray125"/>
    </fill>
    <fill>
      <patternFill patternType="solid">
        <fgColor rgb="0000294D"/>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9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50" customWidth="1" min="5" max="5"/>
    <col width="50" customWidth="1" min="6" max="6"/>
    <col width="18" customWidth="1" min="7" max="7"/>
    <col width="18" customWidth="1" min="8" max="8"/>
    <col width="18" customWidth="1" min="9" max="9"/>
  </cols>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row>
    <row r="2">
      <c r="A2" s="2" t="inlineStr">
        <is>
          <t>2026-08-07</t>
        </is>
      </c>
      <c r="B2" s="2" t="inlineStr">
        <is>
          <t>Property &amp; Casualty</t>
        </is>
      </c>
      <c r="C2" s="2" t="inlineStr">
        <is>
          <t>Market Economics</t>
        </is>
      </c>
      <c r="D2" s="2" t="inlineStr">
        <is>
          <t>UK/Europe</t>
        </is>
      </c>
      <c r="E2" s="2" t="inlineStr">
        <is>
          <t>European insurers warn wildfire 'protection gap' is widening as claims mount</t>
        </is>
      </c>
      <c r="F2" s="2" t="inlineStr">
        <is>
          <t>CNBC reports Zurich, Allianz and Munich Re are flagging a growing gap between wildfire disaster costs and available insurance coverage after a destructive wildfire season swept France, Spain and Greece.</t>
        </is>
      </c>
      <c r="G2" s="2" t="inlineStr">
        <is>
          <t>CNBC</t>
        </is>
      </c>
      <c r="H2" s="2" t="inlineStr">
        <is>
          <t>https://www.cnbc.com/2026/08/07/wildfires-insurance-cover-zurich-allianz-munich.html</t>
        </is>
      </c>
      <c r="I2" s="2" t="inlineStr">
        <is>
          <t>2026-08-07</t>
        </is>
      </c>
    </row>
    <row r="3">
      <c r="A3" s="2" t="inlineStr">
        <is>
          <t>2026-08-10</t>
        </is>
      </c>
      <c r="B3" s="2" t="inlineStr">
        <is>
          <t>Retirement</t>
        </is>
      </c>
      <c r="C3" s="2" t="inlineStr">
        <is>
          <t>Regulatory &amp; Policy</t>
        </is>
      </c>
      <c r="D3" s="2" t="inlineStr">
        <is>
          <t>United States</t>
        </is>
      </c>
      <c r="E3" s="2" t="inlineStr">
        <is>
          <t>Trump executive order pushes 401(k) access to private equity and crypto</t>
        </is>
      </c>
      <c r="F3" s="2" t="inlineStr">
        <is>
          <t>President Trump signed an executive order on August 7 directing the Department of Labor, SEC and Treasury to review and revise guidance to make it easier for participant-directed 401(k) plans to include alternative investments such as private equity and cryptocurrency.</t>
        </is>
      </c>
      <c r="G3" s="2" t="inlineStr">
        <is>
          <t>Winston &amp; Strawn</t>
        </is>
      </c>
      <c r="H3" s="2" t="inlineStr">
        <is>
          <t>https://www.winston.com/en/blogs-and-podcasts/benefits-blast/new-executive-order-directs-agencies-to-facilitate-401k-access-to-private-equity-cryptocurrency-and-other-alternative-investment</t>
        </is>
      </c>
      <c r="I3" s="2" t="inlineStr">
        <is>
          <t>2026-08-07</t>
        </is>
      </c>
    </row>
    <row r="4">
      <c r="A4" s="2" t="inlineStr">
        <is>
          <t>2026-08-11</t>
        </is>
      </c>
      <c r="B4" s="2" t="inlineStr">
        <is>
          <t>FinTech</t>
        </is>
      </c>
      <c r="C4" s="2" t="inlineStr">
        <is>
          <t>Investments &amp; Funding</t>
        </is>
      </c>
      <c r="D4" s="2" t="inlineStr">
        <is>
          <t>Global</t>
        </is>
      </c>
      <c r="E4" s="2" t="inlineStr">
        <is>
          <t>Weekly fintech funding falls to $673 million as deal pace slows</t>
        </is>
      </c>
      <c r="F4" s="2" t="inlineStr">
        <is>
          <t>Fintech startups raised a combined $673 million across 15 deals in the first week of August 2026, a sharp pullback from the $2.03 billion raised the prior week, reflecting more selective investor appetite.</t>
        </is>
      </c>
      <c r="G4" s="2" t="inlineStr">
        <is>
          <t>FinTech Global</t>
        </is>
      </c>
      <c r="H4" s="2" t="inlineStr">
        <is>
          <t>https://fintech.global/2026/08/07/a-total-of-673m-was-raised-across-15-fintech-deals-this-week/</t>
        </is>
      </c>
      <c r="I4" s="2" t="inlineStr">
        <is>
          <t>2026-08-07</t>
        </is>
      </c>
    </row>
    <row r="5">
      <c r="A5" s="2" t="inlineStr">
        <is>
          <t>2026-08-11</t>
        </is>
      </c>
      <c r="B5" s="2" t="inlineStr">
        <is>
          <t>Investments</t>
        </is>
      </c>
      <c r="C5" s="2" t="inlineStr">
        <is>
          <t>Market Economics</t>
        </is>
      </c>
      <c r="D5" s="2" t="inlineStr">
        <is>
          <t>Global</t>
        </is>
      </c>
      <c r="E5" s="2" t="inlineStr">
        <is>
          <t>PIMCO keeps pulling in outside money as Allianz boosts its stake</t>
        </is>
      </c>
      <c r="F5" s="2" t="inlineStr">
        <is>
          <t>PIMCO drew €31.7 billion in third-party net inflows in Q2 2026 with further gains in July, even as parent Allianz increased its ownership stake in the fixed-income manager.</t>
        </is>
      </c>
      <c r="G5" s="2" t="inlineStr">
        <is>
          <t>Bloomberg</t>
        </is>
      </c>
      <c r="H5" s="2" t="inlineStr">
        <is>
          <t>https://www.bloomberg.com/news/articles/2026-08-07/pimco-keeps-pulling-in-money-as-insurer-allianz-boosts-stake</t>
        </is>
      </c>
      <c r="I5" s="2" t="inlineStr">
        <is>
          <t>2026-08-07</t>
        </is>
      </c>
    </row>
    <row r="6">
      <c r="A6" s="2" t="inlineStr">
        <is>
          <t>2026-08-11</t>
        </is>
      </c>
      <c r="B6" s="2" t="inlineStr">
        <is>
          <t>Life &amp; Annuities</t>
        </is>
      </c>
      <c r="C6" s="2" t="inlineStr">
        <is>
          <t>Market Economics</t>
        </is>
      </c>
      <c r="D6" s="2" t="inlineStr">
        <is>
          <t>APAC</t>
        </is>
      </c>
      <c r="E6" s="2" t="inlineStr">
        <is>
          <t>Great Eastern's Singapore business outpaces Malaysia recovery in first half</t>
        </is>
      </c>
      <c r="F6" s="2" t="inlineStr">
        <is>
          <t>Great Eastern reported first-half 2026 weighted new sales up 15% year over year to S$813.2 million, led by strong Singapore agency growth, while its Malaysia unit posted more modest gains amid softer product demand.</t>
        </is>
      </c>
      <c r="G6" s="2" t="inlineStr">
        <is>
          <t>Insurance Business Asia</t>
        </is>
      </c>
      <c r="H6" s="2" t="inlineStr">
        <is>
          <t>https://www.insurancebusinessmag.com/asia/news/breaking-news/great-eastern-sees-singapore-growth-outpace-malaysia-recovery-584570.aspx</t>
        </is>
      </c>
      <c r="I6" s="2" t="inlineStr">
        <is>
          <t>2026-08-07</t>
        </is>
      </c>
    </row>
    <row r="7">
      <c r="A7" s="2" t="inlineStr">
        <is>
          <t>2026-08-11</t>
        </is>
      </c>
      <c r="B7" s="2" t="inlineStr">
        <is>
          <t>TPA</t>
        </is>
      </c>
      <c r="C7" s="2" t="inlineStr">
        <is>
          <t>Regulatory &amp; Policy</t>
        </is>
      </c>
      <c r="D7" s="2" t="inlineStr">
        <is>
          <t>United States</t>
        </is>
      </c>
      <c r="E7" s="2" t="inlineStr">
        <is>
          <t>Health Affairs proposes overhaul of employer TPA accountability rules</t>
        </is>
      </c>
      <c r="F7" s="2" t="inlineStr">
        <is>
          <t>A Health Affairs analysis argues Congress should give self-funded employers a more accountable and transparent option for administering medical benefit plans, citing the market power TPAs hold over the 165.6 million Americans in employer-sponsored coverage.</t>
        </is>
      </c>
      <c r="G7" s="2" t="inlineStr">
        <is>
          <t>Health Affairs (via RamaOnHealthcare)</t>
        </is>
      </c>
      <c r="H7" s="2" t="inlineStr">
        <is>
          <t>https://ramaonhealthcare.com/the-fair-pay-fair-play-tpa-a-proposal-to-disrupt-the-market-for-health-plan-administration/</t>
        </is>
      </c>
      <c r="I7" s="2" t="inlineStr">
        <is>
          <t>2026-08-07</t>
        </is>
      </c>
    </row>
    <row r="8">
      <c r="A8" s="2" t="inlineStr">
        <is>
          <t>2026-08-17</t>
        </is>
      </c>
      <c r="B8" s="2" t="inlineStr">
        <is>
          <t>Investments</t>
        </is>
      </c>
      <c r="C8" s="2" t="inlineStr">
        <is>
          <t>Market Economics</t>
        </is>
      </c>
      <c r="D8" s="2" t="inlineStr">
        <is>
          <t>India</t>
        </is>
      </c>
      <c r="E8" s="2" t="inlineStr">
        <is>
          <t>Motilal Oswal AMC crosses ₹2 lakh crore in total assets under management</t>
        </is>
      </c>
      <c r="F8" s="2" t="inlineStr">
        <is>
          <t>Motilal Oswal Asset Management Company surpassed ₹2 lakh crore in combined mutual fund, AIF and PMS assets as of August 7, 2026, after adding more than 56 lakh new SIP accounts during the fiscal year.</t>
        </is>
      </c>
      <c r="G8" s="2" t="inlineStr">
        <is>
          <t>Inkl</t>
        </is>
      </c>
      <c r="H8" s="2" t="inlineStr">
        <is>
          <t>https://www.inkl.com/news/motilal-oswal-asset-management-company-crosses-rs-2-lakh-crore-aum-adds-56-08-lakh-sips-during-fy2026</t>
        </is>
      </c>
      <c r="I8" s="2" t="inlineStr">
        <is>
          <t>2026-08-07</t>
        </is>
      </c>
    </row>
    <row r="9">
      <c r="A9" s="2" t="inlineStr">
        <is>
          <t>2026-08-18</t>
        </is>
      </c>
      <c r="B9" s="2" t="inlineStr">
        <is>
          <t>Wealth Management</t>
        </is>
      </c>
      <c r="C9" s="2" t="inlineStr">
        <is>
          <t>People &amp; Leadership</t>
        </is>
      </c>
      <c r="D9" s="2" t="inlineStr">
        <is>
          <t>United States</t>
        </is>
      </c>
      <c r="E9" s="2" t="inlineStr">
        <is>
          <t>Rockefeller Poaches 14-Person, $2 Billion Merrill Lynch Team in Ohio</t>
        </is>
      </c>
      <c r="F9" s="2" t="inlineStr">
        <is>
          <t>Rockefeller Capital Management's Global Family Office unit recruited Jones Wealth Partners, a Merrill Lynch team managing about $2 billion in assets led by 43-year Merrill veteran Sidney Jones, expanding Rockefeller's Ohio footprint with a new Columbus office.</t>
        </is>
      </c>
      <c r="G9" s="2" t="inlineStr">
        <is>
          <t>WealthManagement.com</t>
        </is>
      </c>
      <c r="H9" s="2" t="inlineStr">
        <is>
          <t>https://www.wealthmanagement.com/wirehouse-news/rockefeller-recruits-2b-merrill-team-in-ohio</t>
        </is>
      </c>
      <c r="I9" s="2" t="inlineStr">
        <is>
          <t>2026-08-07</t>
        </is>
      </c>
    </row>
    <row r="10">
      <c r="A10" s="2" t="inlineStr">
        <is>
          <t>2026-08-20</t>
        </is>
      </c>
      <c r="B10" s="2" t="inlineStr">
        <is>
          <t>Life &amp; Annuities</t>
        </is>
      </c>
      <c r="C10" s="2" t="inlineStr">
        <is>
          <t>Market Economics</t>
        </is>
      </c>
      <c r="D10" s="2" t="inlineStr">
        <is>
          <t>India</t>
        </is>
      </c>
      <c r="E10" s="2" t="inlineStr">
        <is>
          <t>LIC of India's profit jumps 24% on strong new-business premium growth</t>
        </is>
      </c>
      <c r="F10" s="2" t="inlineStr">
        <is>
          <t>Life Insurance Corporation of India's consolidated net profit rose nearly 24% to roughly Rs 13,584 crore for the quarter ended June 2026, with new-business premium up almost 7%, even as the state-run insurer proceeds with an August offer-for-sale of shares.</t>
        </is>
      </c>
      <c r="G10" s="2" t="inlineStr">
        <is>
          <t>Business Standard</t>
        </is>
      </c>
      <c r="H10" s="2" t="inlineStr">
        <is>
          <t>https://www.business-standard.com/markets/capital-market-news/life-insurance-corporation-of-india-consolidated-net-profit-rises-23-98-in-the-june-2026-quarter-126080700146_1.html</t>
        </is>
      </c>
      <c r="I10" s="2" t="inlineStr">
        <is>
          <t>2026-08-07</t>
        </is>
      </c>
    </row>
    <row r="11">
      <c r="A11" s="2" t="inlineStr">
        <is>
          <t>2026-08-25</t>
        </is>
      </c>
      <c r="B11" s="2" t="inlineStr">
        <is>
          <t>Healthcare / Provider &amp; Clinical</t>
        </is>
      </c>
      <c r="C11" s="2" t="inlineStr">
        <is>
          <t>Regulatory &amp; Policy</t>
        </is>
      </c>
      <c r="D11" s="2" t="inlineStr">
        <is>
          <t>UK/Europe</t>
        </is>
      </c>
      <c r="E11" s="2" t="inlineStr">
        <is>
          <t>Black Book flags Europe's highest-risk hospital markets for cyberattacks</t>
        </is>
      </c>
      <c r="F11" s="2" t="inlineStr">
        <is>
          <t>A new Black Book Research report on Europe's healthcare cybersecurity hotspots identifies the continent's most exposed hospital markets, citing ransomware, thin supplier diversity and slow recovery as recurring risks to patient safety.</t>
        </is>
      </c>
      <c r="G11" s="2" t="inlineStr">
        <is>
          <t>AccessWire</t>
        </is>
      </c>
      <c r="H11" s="2" t="inlineStr">
        <is>
          <t>https://www.accessnewswire.com/newsroom/en/healthcare-and-pharmaceutical/europes-hospitals-on-red-alert-as-four-countries-enter-the-critical-c-1204820</t>
        </is>
      </c>
      <c r="I11" s="2" t="inlineStr">
        <is>
          <t>2026-08-07</t>
        </is>
      </c>
    </row>
    <row r="12">
      <c r="A12" s="2" t="inlineStr">
        <is>
          <t>2026-08-28</t>
        </is>
      </c>
      <c r="B12" s="2" t="inlineStr">
        <is>
          <t>Investments</t>
        </is>
      </c>
      <c r="C12" s="2" t="inlineStr">
        <is>
          <t>Technology &amp; AI</t>
        </is>
      </c>
      <c r="D12" s="2" t="inlineStr">
        <is>
          <t>United States</t>
        </is>
      </c>
      <c r="E12" s="2" t="inlineStr">
        <is>
          <t>Fidelity to add a guaranteed-income sleeve to its Freedom target-date fund lineup</t>
        </is>
      </c>
      <c r="F12" s="2" t="inlineStr">
        <is>
          <t>Fidelity is expanding its Freedom Lifetime series with an insurance-backed guaranteed income option supported by Nationwide and New York Life, blending active and index funds ahead of an early-2027 rollout.</t>
        </is>
      </c>
      <c r="G12" s="2" t="inlineStr">
        <is>
          <t>401(k) Specialist</t>
        </is>
      </c>
      <c r="H12" s="2" t="inlineStr">
        <is>
          <t>https://401kspecialistmag.com/fidelity-expanding-tdf-lineup-with-addition-of-guaranteed-income-solution-by-early-2027/</t>
        </is>
      </c>
      <c r="I12" s="2" t="inlineStr">
        <is>
          <t>2026-08-07</t>
        </is>
      </c>
    </row>
    <row r="13">
      <c r="A13" s="2" t="inlineStr">
        <is>
          <t>2026-09-02</t>
        </is>
      </c>
      <c r="B13" s="2" t="inlineStr">
        <is>
          <t>Investments</t>
        </is>
      </c>
      <c r="C13" s="2" t="inlineStr">
        <is>
          <t>Market Economics</t>
        </is>
      </c>
      <c r="D13" s="2" t="inlineStr">
        <is>
          <t>APAC</t>
        </is>
      </c>
      <c r="E13" s="2" t="inlineStr">
        <is>
          <t>Japan's largest life insurers report $96 billion in unrealized bond losses</t>
        </is>
      </c>
      <c r="F13" s="2" t="inlineStr">
        <is>
          <t>Japan's four biggest life insurers saw combined paper losses on domestic bond holdings swell 7% in the quarter through June, underscoring the strain rising global yields are putting on insurer balance sheets.</t>
        </is>
      </c>
      <c r="G13" s="2" t="inlineStr">
        <is>
          <t>Bloomberg</t>
        </is>
      </c>
      <c r="H13" s="2" t="inlineStr">
        <is>
          <t>https://www.bloomberg.com/news/articles/2026-08-07/japan-s-biggest-insurers-post-96-billion-in-bond-paper-losses</t>
        </is>
      </c>
      <c r="I13" s="2" t="inlineStr">
        <is>
          <t>2026-08-07</t>
        </is>
      </c>
    </row>
    <row r="14">
      <c r="A14" s="2" t="inlineStr">
        <is>
          <t>2026-08-13</t>
        </is>
      </c>
      <c r="B14" s="2" t="inlineStr">
        <is>
          <t>Life &amp; Annuities</t>
        </is>
      </c>
      <c r="C14" s="2" t="inlineStr">
        <is>
          <t>Market Economics</t>
        </is>
      </c>
      <c r="D14" s="2" t="inlineStr">
        <is>
          <t>India</t>
        </is>
      </c>
      <c r="E14" s="2" t="inlineStr">
        <is>
          <t>LIC's quarterly profit jumps 23% as new-business margins widen sharply</t>
        </is>
      </c>
      <c r="F14" s="2" t="inlineStr">
        <is>
          <t>State-run insurer LIC reported a 23% year-on-year rise in first-quarter net profit to roughly Rs 13,492 crore, with value of new business surging 61% and margins expanding nearly 750 basis points.</t>
        </is>
      </c>
      <c r="G14" s="2" t="inlineStr">
        <is>
          <t>APAC News Network</t>
        </is>
      </c>
      <c r="H14" s="2" t="inlineStr">
        <is>
          <t>https://apacnewsnetwork.com/2026/08/lic-q1-results-net-profit-jumps-23-percent-to-13492-crore/</t>
        </is>
      </c>
      <c r="I14" s="2" t="inlineStr">
        <is>
          <t>2026-08-08</t>
        </is>
      </c>
    </row>
    <row r="15">
      <c r="A15" s="2" t="inlineStr">
        <is>
          <t>2026-08-16</t>
        </is>
      </c>
      <c r="B15" s="2" t="inlineStr">
        <is>
          <t>Brokers &amp; MGA/GA</t>
        </is>
      </c>
      <c r="C15" s="2" t="inlineStr">
        <is>
          <t>People &amp; Leadership</t>
        </is>
      </c>
      <c r="D15" s="2" t="inlineStr">
        <is>
          <t>APAC</t>
        </is>
      </c>
      <c r="E15" s="2" t="inlineStr">
        <is>
          <t>Aon reshuffles Asia-Pacific broking leadership as regional expansion continues</t>
        </is>
      </c>
      <c r="F15" s="2" t="inlineStr">
        <is>
          <t>Aon named Helen Lockwood as Australian COO starting in January and expanded Ben Rolfe's remit to chief broking officer for the Pacific, part of a broader wave of senior broker moves across the region this month.</t>
        </is>
      </c>
      <c r="G15" s="2" t="inlineStr">
        <is>
          <t>InsuranceAsia News</t>
        </is>
      </c>
      <c r="H15" s="2" t="inlineStr">
        <is>
          <t>https://insuranceasianews.com/aon-suncorp-qbe-wtw-aviso-specialty-18-apac-insurance-people-moves-of-the-week/</t>
        </is>
      </c>
      <c r="I15" s="2" t="inlineStr">
        <is>
          <t>2026-08-08</t>
        </is>
      </c>
    </row>
    <row r="16">
      <c r="A16" s="2" t="inlineStr">
        <is>
          <t>2026-08-17</t>
        </is>
      </c>
      <c r="B16" s="2" t="inlineStr">
        <is>
          <t>Healthcare / Provider &amp; Clinical</t>
        </is>
      </c>
      <c r="C16" s="2" t="inlineStr">
        <is>
          <t>Technology &amp; AI</t>
        </is>
      </c>
      <c r="D16" s="2" t="inlineStr">
        <is>
          <t>United States</t>
        </is>
      </c>
      <c r="E16" s="2" t="inlineStr">
        <is>
          <t>Hospitals report AI documentation tools are cutting nursing and physician charting time significantly</t>
        </is>
      </c>
      <c r="F16" s="2" t="inlineStr">
        <is>
          <t>Multiple health systems are reporting measurable time savings from ambient AI scribes and documentation tools, including a Mercy nurse in Missouri saving roughly two hours of charting per 12-hour shift, as governance concerns shift toward EHR integration.</t>
        </is>
      </c>
      <c r="G16" s="2" t="inlineStr">
        <is>
          <t>The Daily Health AI Chronicle</t>
        </is>
      </c>
      <c r="H16" s="2" t="inlineStr">
        <is>
          <t>https://thedaily.health/daily-health-ai-chronicle-august-8-2026/</t>
        </is>
      </c>
      <c r="I16" s="2" t="inlineStr">
        <is>
          <t>2026-08-08</t>
        </is>
      </c>
    </row>
    <row r="17">
      <c r="A17" s="2" t="inlineStr">
        <is>
          <t>2026-08-18</t>
        </is>
      </c>
      <c r="B17" s="2" t="inlineStr">
        <is>
          <t>Investments</t>
        </is>
      </c>
      <c r="C17" s="2" t="inlineStr">
        <is>
          <t>Market Economics</t>
        </is>
      </c>
      <c r="D17" s="2" t="inlineStr">
        <is>
          <t>India</t>
        </is>
      </c>
      <c r="E17" s="2" t="inlineStr">
        <is>
          <t>Indian mutual fund assets hit record ₹85.76 lakh crore on SIP boom</t>
        </is>
      </c>
      <c r="F17" s="2" t="inlineStr">
        <is>
          <t>India's mutual fund industry AUM reached ₹85,75,657 crore as of July 31, 2026, roughly a six-fold rise over a decade, driven by record monthly SIP inflows above ₹32,000 crore and mutual fund folios surpassing 27 crore.</t>
        </is>
      </c>
      <c r="G17" s="2" t="inlineStr">
        <is>
          <t>IBEF</t>
        </is>
      </c>
      <c r="H17" s="2" t="inlineStr">
        <is>
          <t>https://www.ibef.org/news/indian-mutual-fund-industry-s-aum-rises-12-2-to-us-790-07-billion-in-fy26</t>
        </is>
      </c>
      <c r="I17" s="2" t="inlineStr">
        <is>
          <t>2026-08-08</t>
        </is>
      </c>
    </row>
    <row r="18">
      <c r="A18" s="2" t="inlineStr">
        <is>
          <t>2026-08-26</t>
        </is>
      </c>
      <c r="B18" s="2" t="inlineStr">
        <is>
          <t>Health Insurance / Payer</t>
        </is>
      </c>
      <c r="C18" s="2" t="inlineStr">
        <is>
          <t>Market Economics</t>
        </is>
      </c>
      <c r="D18" s="2" t="inlineStr">
        <is>
          <t>United States</t>
        </is>
      </c>
      <c r="E18" s="2" t="inlineStr">
        <is>
          <t>UnitedHealth leads Q2 payer profits as insurers show signs of cost recovery</t>
        </is>
      </c>
      <c r="F18" s="2" t="inlineStr">
        <is>
          <t>UnitedHealth Group posted $5.48 billion in Q2 2026 profit (a 4.9% margin), followed by Cigna at $1.66 billion and Centene at $1.09 billion, while Elevance Health was the only major insurer among the six tracked to post a year-over-year profit decline.</t>
        </is>
      </c>
      <c r="G18" s="2" t="inlineStr">
        <is>
          <t>Becker's Payer Issues</t>
        </is>
      </c>
      <c r="H18" s="2" t="inlineStr">
        <is>
          <t>https://www.beckerspayer.com/finance/payers-ranked-by-q2-2026-profits/</t>
        </is>
      </c>
      <c r="I18" s="2" t="inlineStr">
        <is>
          <t>2026-08-08</t>
        </is>
      </c>
    </row>
    <row r="19">
      <c r="A19" s="2" t="inlineStr">
        <is>
          <t>2026-08-28</t>
        </is>
      </c>
      <c r="B19" s="2" t="inlineStr">
        <is>
          <t>Life &amp; Annuities</t>
        </is>
      </c>
      <c r="C19" s="2" t="inlineStr">
        <is>
          <t>Technology &amp; AI</t>
        </is>
      </c>
      <c r="D19" s="2" t="inlineStr">
        <is>
          <t>United States</t>
        </is>
      </c>
      <c r="E19" s="2" t="inlineStr">
        <is>
          <t>1891 Financial Life rolls out a new digital annuity application built with iCover and Solvrays</t>
        </is>
      </c>
      <c r="F19" s="2" t="inlineStr">
        <is>
          <t>The insurer launched an eApp designed to simplify and speed up annuity application and submission for agents and clients, part of a broader digital modernization push across the life and annuity sector.</t>
        </is>
      </c>
      <c r="G19" s="2" t="inlineStr">
        <is>
          <t>InsurTech Express</t>
        </is>
      </c>
      <c r="H19" s="2" t="inlineStr">
        <is>
          <t>https://www.insurtechexpress.com/itx-newsletter-august-2026-edition-2/</t>
        </is>
      </c>
      <c r="I19" s="2" t="inlineStr">
        <is>
          <t>2026-08-08</t>
        </is>
      </c>
    </row>
    <row r="20">
      <c r="A20" s="2" t="inlineStr">
        <is>
          <t>2026-08-10</t>
        </is>
      </c>
      <c r="B20" s="2" t="inlineStr">
        <is>
          <t>Investments</t>
        </is>
      </c>
      <c r="C20" s="2" t="inlineStr">
        <is>
          <t>Investments &amp; Funding</t>
        </is>
      </c>
      <c r="D20" s="2" t="inlineStr">
        <is>
          <t>Global</t>
        </is>
      </c>
      <c r="E20" s="2" t="inlineStr">
        <is>
          <t>Zurich secures $1 billion quota-share reinsurance deal for data-center risk</t>
        </is>
      </c>
      <c r="F20" s="2" t="inlineStr">
        <is>
          <t>Zurich arranged a $1 billion quota-share reinsurance placement to support its growing book of underwriting risk tied to data centers, part of a broader trend of insurers building capacity for technology-infrastructure exposures.</t>
        </is>
      </c>
      <c r="G20" s="2" t="inlineStr">
        <is>
          <t>Artemis.bm</t>
        </is>
      </c>
      <c r="H20" s="2" t="inlineStr">
        <is>
          <t>https://www.artemis.bm/news/best-of-artemis-week-ending-august-9th-2026/</t>
        </is>
      </c>
      <c r="I20" s="2" t="inlineStr">
        <is>
          <t>2026-08-09</t>
        </is>
      </c>
    </row>
    <row r="21">
      <c r="A21" s="2" t="inlineStr">
        <is>
          <t>2026-08-16</t>
        </is>
      </c>
      <c r="B21" s="2" t="inlineStr">
        <is>
          <t>Healthcare / Provider &amp; Clinical</t>
        </is>
      </c>
      <c r="C21" s="2" t="inlineStr">
        <is>
          <t>Technology &amp; AI</t>
        </is>
      </c>
      <c r="D21" s="2" t="inlineStr">
        <is>
          <t>United States</t>
        </is>
      </c>
      <c r="E21" s="2" t="inlineStr">
        <is>
          <t>Majority of home and community-based care providers now testing AI tools, survey finds</t>
        </is>
      </c>
      <c r="F21" s="2" t="inlineStr">
        <is>
          <t>An HHAeXchange survey found more than 57% of home- and community-based service providers are actively using, testing or evaluating AI tools, part of a broader wave of clinical and administrative AI adoption across care settings.</t>
        </is>
      </c>
      <c r="G21" s="2" t="inlineStr">
        <is>
          <t>Healthcare IT Today</t>
        </is>
      </c>
      <c r="H21" s="2" t="inlineStr">
        <is>
          <t>https://www.healthcareittoday.com/2026/08/09/bonus-features-august-9-2026-57-of-home-and-community-based-providers-evaluating-ai-tools-28-of-patients-have-put-off-canceling-an-appointment-because-it-required-a-phone-call/</t>
        </is>
      </c>
      <c r="I21" s="2" t="inlineStr">
        <is>
          <t>2026-08-09</t>
        </is>
      </c>
    </row>
    <row r="22">
      <c r="A22" s="2" t="inlineStr">
        <is>
          <t>2026-08-26</t>
        </is>
      </c>
      <c r="B22" s="2" t="inlineStr">
        <is>
          <t>Insurtech</t>
        </is>
      </c>
      <c r="C22" s="2" t="inlineStr">
        <is>
          <t>Investments &amp; Funding</t>
        </is>
      </c>
      <c r="D22" s="2" t="inlineStr">
        <is>
          <t>Global</t>
        </is>
      </c>
      <c r="E22" s="2" t="inlineStr">
        <is>
          <t>AI captures 99.1% of Q2 2026 global InsurTech funding</t>
        </is>
      </c>
      <c r="F22" s="2" t="inlineStr">
        <is>
          <t>Global InsurTech funding reached $2.44 billion in Q2 2026, with AI-focused companies pulling in $2.42 billion of that total, as investors keep raising the bar on how quickly AI insurtechs must show a path to profitability.</t>
        </is>
      </c>
      <c r="G22" s="2" t="inlineStr">
        <is>
          <t>InsurTech NY</t>
        </is>
      </c>
      <c r="H22" s="2" t="inlineStr">
        <is>
          <t>https://www.insurtechny.com/top-insurtech-headlines-aug-3-aug-9-2026/</t>
        </is>
      </c>
      <c r="I22" s="2" t="inlineStr">
        <is>
          <t>2026-08-09</t>
        </is>
      </c>
    </row>
    <row r="23">
      <c r="A23" s="2" t="inlineStr">
        <is>
          <t>2026-08-11</t>
        </is>
      </c>
      <c r="B23" s="2" t="inlineStr">
        <is>
          <t>Insurtech</t>
        </is>
      </c>
      <c r="C23" s="2" t="inlineStr">
        <is>
          <t>People &amp; Leadership</t>
        </is>
      </c>
      <c r="D23" s="2" t="inlineStr">
        <is>
          <t>UK/Europe</t>
        </is>
      </c>
      <c r="E23" s="2" t="inlineStr">
        <is>
          <t>VisionTrack names Richard Lilwall CEO of AI telematics platform</t>
        </is>
      </c>
      <c r="F23" s="2" t="inlineStr">
        <is>
          <t>AI video telematics and connected fleet data specialist VisionTrack, part of Markerstudy Group, appointed Richard Lilwall as chief executive, succeeding Ben Pickard who returns to the CFO role.</t>
        </is>
      </c>
      <c r="G23" s="2" t="inlineStr">
        <is>
          <t>Fleet World</t>
        </is>
      </c>
      <c r="H23" s="2" t="inlineStr">
        <is>
          <t>https://fleetworld.co.uk/visiontrack-appoints-richard-lilwall-as-ceo/</t>
        </is>
      </c>
      <c r="I23" s="2" t="inlineStr">
        <is>
          <t>2026-08-10</t>
        </is>
      </c>
    </row>
    <row r="24">
      <c r="A24" s="2" t="inlineStr">
        <is>
          <t>2026-08-12</t>
        </is>
      </c>
      <c r="B24" s="2" t="inlineStr">
        <is>
          <t>Retirement</t>
        </is>
      </c>
      <c r="C24" s="2" t="inlineStr">
        <is>
          <t>Technology &amp; AI</t>
        </is>
      </c>
      <c r="D24" s="2" t="inlineStr">
        <is>
          <t>United States</t>
        </is>
      </c>
      <c r="E24" s="2" t="inlineStr">
        <is>
          <t>Human Interest launches AI tool for automated 401(k) compliance monitoring</t>
        </is>
      </c>
      <c r="F24" s="2" t="inlineStr">
        <is>
          <t>Retirement plan provider Human Interest introduced a new AI-driven tool designed to automatically flag compliance issues for employers administering 401(k) plans.</t>
        </is>
      </c>
      <c r="G24" s="2" t="inlineStr">
        <is>
          <t>NAPA Net</t>
        </is>
      </c>
      <c r="H24" s="2" t="inlineStr">
        <is>
          <t>https://www.napa-net.org/news/2026/8/human-interest-unveils-new-ai-tool-for-401k-compliance-monitoring/</t>
        </is>
      </c>
      <c r="I24" s="2" t="inlineStr">
        <is>
          <t>2026-08-10</t>
        </is>
      </c>
    </row>
    <row r="25">
      <c r="A25" s="2" t="inlineStr">
        <is>
          <t>2026-08-12</t>
        </is>
      </c>
      <c r="B25" s="2" t="inlineStr">
        <is>
          <t>Wealth Management</t>
        </is>
      </c>
      <c r="C25" s="2" t="inlineStr">
        <is>
          <t>Technology &amp; AI</t>
        </is>
      </c>
      <c r="D25" s="2" t="inlineStr">
        <is>
          <t>United States</t>
        </is>
      </c>
      <c r="E25" s="2" t="inlineStr">
        <is>
          <t>Cambridge Investment Research deploys agentic AI to speed account opening</t>
        </is>
      </c>
      <c r="F25" s="2" t="inlineStr">
        <is>
          <t>Cambridge Investment Research rolled out an agentic AI tool that automates parts of its direct account-opening process, cutting a task that used to take 17 minutes down to seconds.</t>
        </is>
      </c>
      <c r="G25" s="2" t="inlineStr">
        <is>
          <t>Dwealth.news</t>
        </is>
      </c>
      <c r="H25" s="2" t="inlineStr">
        <is>
          <t>https://dwealth.news/2026/08/advisor-tech-talk-week-of-8-10-26/</t>
        </is>
      </c>
      <c r="I25" s="2" t="inlineStr">
        <is>
          <t>2026-08-10</t>
        </is>
      </c>
    </row>
    <row r="26">
      <c r="A26" s="2" t="inlineStr">
        <is>
          <t>2026-08-13</t>
        </is>
      </c>
      <c r="B26" s="2" t="inlineStr">
        <is>
          <t>Healthcare / Provider &amp; Clinical</t>
        </is>
      </c>
      <c r="C26" s="2" t="inlineStr">
        <is>
          <t>Technology &amp; AI</t>
        </is>
      </c>
      <c r="D26" s="2" t="inlineStr">
        <is>
          <t>United States</t>
        </is>
      </c>
      <c r="E26" s="2" t="inlineStr">
        <is>
          <t>UC Irvine Health warns hospitals often don't know where every AI tool lives in their systems</t>
        </is>
      </c>
      <c r="F26" s="2" t="inlineStr">
        <is>
          <t>UC Irvine Health's chief medical informatics and AI officer, Dr. Deepti Pandita, said provider organizations may not always know where every AI tool exists in their operations, underscoring the need for system-wide AI awareness and governance.</t>
        </is>
      </c>
      <c r="G26" s="2" t="inlineStr">
        <is>
          <t>Odgers Berndtson</t>
        </is>
      </c>
      <c r="H26" s="2" t="inlineStr">
        <is>
          <t>https://www.odgers.com/en-us/insights/ai-operational-governance-an-interview-with-chief-medical-informatics-officer-at-uc-irvine-health-dr-deepti-pandita/</t>
        </is>
      </c>
      <c r="I26" s="2" t="inlineStr">
        <is>
          <t>2026-08-10</t>
        </is>
      </c>
    </row>
    <row r="27">
      <c r="A27" s="2" t="inlineStr">
        <is>
          <t>2026-08-14</t>
        </is>
      </c>
      <c r="B27" s="2" t="inlineStr">
        <is>
          <t>Wealth Management</t>
        </is>
      </c>
      <c r="C27" s="2" t="inlineStr">
        <is>
          <t>Investments &amp; Funding</t>
        </is>
      </c>
      <c r="D27" s="2" t="inlineStr">
        <is>
          <t>United States</t>
        </is>
      </c>
      <c r="E27" s="2" t="inlineStr">
        <is>
          <t>Carlyle takes minority stake in Prime Capital Financial at $1.8 billion valuation</t>
        </is>
      </c>
      <c r="F27" s="2" t="inlineStr">
        <is>
          <t>Carlyle's Global Credit platform agreed to roughly a $600 million hybrid capital investment in Prime Capital Financial, valuing the RIA at more than $1.8 billion and letting prior backer Abry Partners exit after three years.</t>
        </is>
      </c>
      <c r="G27" s="2" t="inlineStr">
        <is>
          <t>InvestmentNews</t>
        </is>
      </c>
      <c r="H27" s="2" t="inlineStr">
        <is>
          <t>https://www.investmentnews.com/ria-news/carlyle-swoops-in-as-new-prime-capital-backer-valuing-firm-at-18-billion/267735</t>
        </is>
      </c>
      <c r="I27" s="2" t="inlineStr">
        <is>
          <t>2026-08-10</t>
        </is>
      </c>
    </row>
    <row r="28">
      <c r="A28" s="2" t="inlineStr">
        <is>
          <t>2026-08-15</t>
        </is>
      </c>
      <c r="B28" s="2" t="inlineStr">
        <is>
          <t>FinTech</t>
        </is>
      </c>
      <c r="C28" s="2" t="inlineStr">
        <is>
          <t>Technology &amp; AI</t>
        </is>
      </c>
      <c r="D28" s="2" t="inlineStr">
        <is>
          <t>UK/Europe</t>
        </is>
      </c>
      <c r="E28" s="2" t="inlineStr">
        <is>
          <t>French insurers shift AI from pilot projects to front-line operations</t>
        </is>
      </c>
      <c r="F28" s="2" t="inlineStr">
        <is>
          <t>Insurers in France are moving past the decision of whether to use AI and are now focused on how to deploy it across underwriting and claims while keeping human decision-makers in control.</t>
        </is>
      </c>
      <c r="G28" s="2" t="inlineStr">
        <is>
          <t>FinTech Global</t>
        </is>
      </c>
      <c r="H28" s="2" t="inlineStr">
        <is>
          <t>https://fintech.global/2026/08/10/french-insurers-move-ai-from-pilots-to-the-front-line/</t>
        </is>
      </c>
      <c r="I28" s="2" t="inlineStr">
        <is>
          <t>2026-08-10</t>
        </is>
      </c>
    </row>
    <row r="29">
      <c r="A29" s="2" t="inlineStr">
        <is>
          <t>2026-08-15</t>
        </is>
      </c>
      <c r="B29" s="2" t="inlineStr">
        <is>
          <t>Property &amp; Casualty</t>
        </is>
      </c>
      <c r="C29" s="2" t="inlineStr">
        <is>
          <t>Market Economics</t>
        </is>
      </c>
      <c r="D29" s="2" t="inlineStr">
        <is>
          <t>United States</t>
        </is>
      </c>
      <c r="E29" s="2" t="inlineStr">
        <is>
          <t>United Fire Group posts its best catastrophe loss ratio in a decade</t>
        </is>
      </c>
      <c r="F29" s="2" t="inlineStr">
        <is>
          <t>United Fire Group reported a second-quarter catastrophe loss ratio of 2.7%, a 2.8-point improvement from a year earlier and well below its ten-year average, reflecting a comparatively quiet severe-weather season for the specialty carrier.</t>
        </is>
      </c>
      <c r="G29" s="2" t="inlineStr">
        <is>
          <t>The Motley Fool</t>
        </is>
      </c>
      <c r="H29" s="2" t="inlineStr">
        <is>
          <t>https://www.fool.com/earnings/call-transcripts/2026/08/10/united-fire-group-ufcs-q2-2026-earnings-call-transcript/</t>
        </is>
      </c>
      <c r="I29" s="2" t="inlineStr">
        <is>
          <t>2026-08-10</t>
        </is>
      </c>
    </row>
    <row r="30">
      <c r="A30" s="2" t="inlineStr">
        <is>
          <t>2026-08-17</t>
        </is>
      </c>
      <c r="B30" s="2" t="inlineStr">
        <is>
          <t>Health Insurance / Payer</t>
        </is>
      </c>
      <c r="C30" s="2" t="inlineStr">
        <is>
          <t>Regulatory &amp; Policy</t>
        </is>
      </c>
      <c r="D30" s="2" t="inlineStr">
        <is>
          <t>United States</t>
        </is>
      </c>
      <c r="E30" s="2" t="inlineStr">
        <is>
          <t>PCMA launches public campaign defending PBMs against further regulation</t>
        </is>
      </c>
      <c r="F30" s="2" t="inlineStr">
        <is>
          <t>The Pharmaceutical Care Management Association launched a "What's Your PBM IQ?" public campaign on August 10, 2026, arguing pharmacy benefit managers already deliver savings as Congress weighs additional PBM reform following the Consolidated Appropriations Act's new rules.</t>
        </is>
      </c>
      <c r="G30" s="2" t="inlineStr">
        <is>
          <t>PCMA</t>
        </is>
      </c>
      <c r="H30" s="2" t="inlineStr">
        <is>
          <t>https://www.pcmanet.org/newsroom/</t>
        </is>
      </c>
      <c r="I30" s="2" t="inlineStr">
        <is>
          <t>2026-08-10</t>
        </is>
      </c>
    </row>
    <row r="31">
      <c r="A31" s="2" t="inlineStr">
        <is>
          <t>2026-08-17</t>
        </is>
      </c>
      <c r="B31" s="2" t="inlineStr">
        <is>
          <t>Retirement</t>
        </is>
      </c>
      <c r="C31" s="2" t="inlineStr">
        <is>
          <t>Technology &amp; AI</t>
        </is>
      </c>
      <c r="D31" s="2" t="inlineStr">
        <is>
          <t>United States</t>
        </is>
      </c>
      <c r="E31" s="2" t="inlineStr">
        <is>
          <t>Roper Technologies to shift 401(k) recordkeeping from Vanguard to Fidelity, triggering blackout period</t>
        </is>
      </c>
      <c r="F31" s="2" t="inlineStr">
        <is>
          <t>Roper Technologies disclosed a participant blackout period beginning in late September as its two 401(k) plans transition recordkeeping services from Vanguard to Fidelity Investments, effective October 2026.</t>
        </is>
      </c>
      <c r="G31" s="2" t="inlineStr">
        <is>
          <t>Kalkine Media</t>
        </is>
      </c>
      <c r="H31" s="2" t="inlineStr">
        <is>
          <t>https://kalkinemedia.com/us/news/announcements/roper-technologies-announces-temporary-blackout-period-for-401k-plans-amid-recordkeeping-transition</t>
        </is>
      </c>
      <c r="I31" s="2" t="inlineStr">
        <is>
          <t>2026-08-10</t>
        </is>
      </c>
    </row>
    <row r="32">
      <c r="A32" s="2" t="inlineStr">
        <is>
          <t>2026-08-18</t>
        </is>
      </c>
      <c r="B32" s="2" t="inlineStr">
        <is>
          <t>FinTech</t>
        </is>
      </c>
      <c r="C32" s="2" t="inlineStr">
        <is>
          <t>Technology &amp; AI</t>
        </is>
      </c>
      <c r="D32" s="2" t="inlineStr">
        <is>
          <t>Global</t>
        </is>
      </c>
      <c r="E32" s="2" t="inlineStr">
        <is>
          <t>Bolt Debuts AI Distribution Engine as Embedded Insurance Financing Expands</t>
        </is>
      </c>
      <c r="F32" s="2" t="inlineStr">
        <is>
          <t>Distribution-tech insurtech Bolt rolled out what it calls the industry's first AI-powered insurance distribution platform, arriving as embedded finance products bundling insurance, credit and payments keep expanding across non-financial apps.</t>
        </is>
      </c>
      <c r="G32" s="2" t="inlineStr">
        <is>
          <t>FinTech Global</t>
        </is>
      </c>
      <c r="H32" s="2" t="inlineStr">
        <is>
          <t>https://fintech.global/2026/08/10/will-embedded-finance-push-banks-into-the-background/</t>
        </is>
      </c>
      <c r="I32" s="2" t="inlineStr">
        <is>
          <t>2026-08-10</t>
        </is>
      </c>
    </row>
    <row r="33">
      <c r="A33" s="2" t="inlineStr">
        <is>
          <t>2026-08-18</t>
        </is>
      </c>
      <c r="B33" s="2" t="inlineStr">
        <is>
          <t>Insurtech</t>
        </is>
      </c>
      <c r="C33" s="2" t="inlineStr">
        <is>
          <t>Technology &amp; AI</t>
        </is>
      </c>
      <c r="D33" s="2" t="inlineStr">
        <is>
          <t>United States</t>
        </is>
      </c>
      <c r="E33" s="2" t="inlineStr">
        <is>
          <t>Ledgebrook Wins A- Ratings, Completes Full-Stack Carrier Build Early</t>
        </is>
      </c>
      <c r="F33" s="2" t="inlineStr">
        <is>
          <t>AM Best awarded A- financial strength ratings to Ledgebrook's two newly formed carrier entities, marking the E&amp;S insurtech's completion of its shift to a full-stack model ahead of the 2027 timeline its founder had set out.</t>
        </is>
      </c>
      <c r="G33" s="2" t="inlineStr">
        <is>
          <t>The Insurer</t>
        </is>
      </c>
      <c r="H33" s="2" t="inlineStr">
        <is>
          <t>https://www.theinsurer.com/ti/news/ledgebrook-secures-a-minus-am-best-ratings-as-insurtech-completes-full-stack-2026-08-10/</t>
        </is>
      </c>
      <c r="I33" s="2" t="inlineStr">
        <is>
          <t>2026-08-10</t>
        </is>
      </c>
    </row>
    <row r="34">
      <c r="A34" s="2" t="inlineStr">
        <is>
          <t>2026-08-18</t>
        </is>
      </c>
      <c r="B34" s="2" t="inlineStr">
        <is>
          <t>Property &amp; Casualty</t>
        </is>
      </c>
      <c r="C34" s="2" t="inlineStr">
        <is>
          <t>People &amp; Leadership</t>
        </is>
      </c>
      <c r="D34" s="2" t="inlineStr">
        <is>
          <t>United States</t>
        </is>
      </c>
      <c r="E34" s="2" t="inlineStr">
        <is>
          <t>Specialty Carrier Everspan Adds Three Senior Underwriting and Operations Executives</t>
        </is>
      </c>
      <c r="F34" s="2" t="inlineStr">
        <is>
          <t>Everspan Group named a new head of reinsurance, chief underwriting officer and chief operating officer in quick succession during late July and August 2026 as part of a broader growth push in the program and specialty insurance business.</t>
        </is>
      </c>
      <c r="G34" s="2" t="inlineStr">
        <is>
          <t>Insurance-Edge.net</t>
        </is>
      </c>
      <c r="H34" s="2" t="inlineStr">
        <is>
          <t>https://insurance-edge.net/2026/08/10/job-moves-and-senior-appointments-10-08-2026/</t>
        </is>
      </c>
      <c r="I34" s="2" t="inlineStr">
        <is>
          <t>2026-08-10</t>
        </is>
      </c>
    </row>
    <row r="35">
      <c r="A35" s="2" t="inlineStr">
        <is>
          <t>2026-08-18</t>
        </is>
      </c>
      <c r="B35" s="2" t="inlineStr">
        <is>
          <t>Wealth Management</t>
        </is>
      </c>
      <c r="C35" s="2" t="inlineStr">
        <is>
          <t>M&amp;A</t>
        </is>
      </c>
      <c r="D35" s="2" t="inlineStr">
        <is>
          <t>India</t>
        </is>
      </c>
      <c r="E35" s="2" t="inlineStr">
        <is>
          <t>India's Wealth Management Market Barrels Toward $287 Billion by 2030 as AI Reshapes Advice</t>
        </is>
      </c>
      <c r="F35" s="2" t="inlineStr">
        <is>
          <t>India's wealth management industry, projected to grow from about $154 billion in 2024 to nearly $287 billion by 2030, is being reshaped by fast-growing AI-driven robo-advisory platforms even as the country faces a shortage of experienced advisors for its wealthy clients.</t>
        </is>
      </c>
      <c r="G35" s="2" t="inlineStr">
        <is>
          <t>Finance Outlook India</t>
        </is>
      </c>
      <c r="H35" s="2" t="inlineStr">
        <is>
          <t>https://www.financeoutlookindia.com/news/india-wealth-management-shifts-as-ai-platforms-challenge-advisors-nwid-7878.html</t>
        </is>
      </c>
      <c r="I35" s="2" t="inlineStr">
        <is>
          <t>2026-08-10</t>
        </is>
      </c>
    </row>
    <row r="36">
      <c r="A36" s="2" t="inlineStr">
        <is>
          <t>2026-08-19</t>
        </is>
      </c>
      <c r="B36" s="2" t="inlineStr">
        <is>
          <t>Retirement</t>
        </is>
      </c>
      <c r="C36" s="2" t="inlineStr">
        <is>
          <t>Market Economics</t>
        </is>
      </c>
      <c r="D36" s="2" t="inlineStr">
        <is>
          <t>United States</t>
        </is>
      </c>
      <c r="E36" s="2" t="inlineStr">
        <is>
          <t>401(k) recordkeepers navigate fee pressure as 2026 elective deferral cap rises to $24,500</t>
        </is>
      </c>
      <c r="F36" s="2" t="inlineStr">
        <is>
          <t>Retirement plan recordkeepers are contending with declining fee revenue even as plan sponsors demand more technology and participant services, while the IRS's 2026 401(k) elective deferral limit climbed to $24,500.</t>
        </is>
      </c>
      <c r="G36" s="2" t="inlineStr">
        <is>
          <t>401(k) Specialist</t>
        </is>
      </c>
      <c r="H36" s="2" t="inlineStr">
        <is>
          <t>https://401kspecialistmag.com/tag/401k-recordkeeping/</t>
        </is>
      </c>
      <c r="I36" s="2" t="inlineStr">
        <is>
          <t>2026-08-10</t>
        </is>
      </c>
    </row>
    <row r="37">
      <c r="A37" s="2" t="inlineStr">
        <is>
          <t>2026-08-19</t>
        </is>
      </c>
      <c r="B37" s="2" t="inlineStr">
        <is>
          <t>Wealth Management</t>
        </is>
      </c>
      <c r="C37" s="2" t="inlineStr">
        <is>
          <t>Technology &amp; AI</t>
        </is>
      </c>
      <c r="D37" s="2" t="inlineStr">
        <is>
          <t>United States</t>
        </is>
      </c>
      <c r="E37" s="2" t="inlineStr">
        <is>
          <t>Cambridge Investment Research rolls out agentic AI that cuts account-opening from 17 minutes to seconds</t>
        </is>
      </c>
      <c r="F37" s="2" t="inlineStr">
        <is>
          <t>Broker-dealer Cambridge Investment Research deployed an agentic AI tool that automates parts of its direct account-opening workflow, compressing a process that used to take advisors roughly 17 minutes down to seconds.</t>
        </is>
      </c>
      <c r="G37" s="2" t="inlineStr">
        <is>
          <t>WealthManagement.com</t>
        </is>
      </c>
      <c r="H37" s="2" t="inlineStr">
        <is>
          <t>https://www.wealthmanagement.com/artificial-intelligence/wealth-tech-panel-ai-agents-are-next-wave-of-use-for-rias</t>
        </is>
      </c>
      <c r="I37" s="2" t="inlineStr">
        <is>
          <t>2026-08-10</t>
        </is>
      </c>
    </row>
    <row r="38">
      <c r="A38" s="2" t="inlineStr">
        <is>
          <t>2026-08-21</t>
        </is>
      </c>
      <c r="B38" s="2" t="inlineStr">
        <is>
          <t>Health Insurance / Payer</t>
        </is>
      </c>
      <c r="C38" s="2" t="inlineStr">
        <is>
          <t>Market Economics</t>
        </is>
      </c>
      <c r="D38" s="2" t="inlineStr">
        <is>
          <t>United States</t>
        </is>
      </c>
      <c r="E38" s="2" t="inlineStr">
        <is>
          <t>More insurers retreat from ACA marketplaces for 2027, including Medica and Elevance</t>
        </is>
      </c>
      <c r="F38" s="2" t="inlineStr">
        <is>
          <t>Medica will stop offering individual ACA marketplace plans in Iowa, Kansas and Oklahoma, while Elevance is exiting Ohio's small-group exchange, part of a wave of at least 11 insurers scaling back ACA participation amid falling enrollment and the expiration of enhanced premium tax credits.</t>
        </is>
      </c>
      <c r="G38" s="2" t="inlineStr">
        <is>
          <t>Becker's Payer Issues</t>
        </is>
      </c>
      <c r="H38" s="2" t="inlineStr">
        <is>
          <t>https://www.beckerspayer.com/payer/aca/elevance-to-exit-small-group-aca-market-in-ohio/</t>
        </is>
      </c>
      <c r="I38" s="2" t="inlineStr">
        <is>
          <t>2026-08-10</t>
        </is>
      </c>
    </row>
    <row r="39">
      <c r="A39" s="2" t="inlineStr">
        <is>
          <t>2026-08-21</t>
        </is>
      </c>
      <c r="B39" s="2" t="inlineStr">
        <is>
          <t>Retirement</t>
        </is>
      </c>
      <c r="C39" s="2" t="inlineStr">
        <is>
          <t>Technology &amp; AI</t>
        </is>
      </c>
      <c r="D39" s="2" t="inlineStr">
        <is>
          <t>United States</t>
        </is>
      </c>
      <c r="E39" s="2" t="inlineStr">
        <is>
          <t>Retirement income tools set to move from pilot to mainstream adoption in 2026, IRIC forecasts</t>
        </is>
      </c>
      <c r="F39" s="2" t="inlineStr">
        <is>
          <t>The Institutional Retirement Income Council projects plan sponsors will shift from exploring in-plan retirement income solutions to actually rolling them out this year, alongside expanded financial wellness offerings.</t>
        </is>
      </c>
      <c r="G39" s="2" t="inlineStr">
        <is>
          <t>401(k) Specialist</t>
        </is>
      </c>
      <c r="H39" s="2" t="inlineStr">
        <is>
          <t>https://401kspecialistmag.com/iric-forecasts-retirement-income-adoption-financial-wellness-expansion-for-2026/</t>
        </is>
      </c>
      <c r="I39" s="2" t="inlineStr">
        <is>
          <t>2026-08-10</t>
        </is>
      </c>
    </row>
    <row r="40">
      <c r="A40" s="2" t="inlineStr">
        <is>
          <t>2026-08-21</t>
        </is>
      </c>
      <c r="B40" s="2" t="inlineStr">
        <is>
          <t>Wealth Management</t>
        </is>
      </c>
      <c r="C40" s="2" t="inlineStr">
        <is>
          <t>Market Economics</t>
        </is>
      </c>
      <c r="D40" s="2" t="inlineStr">
        <is>
          <t>UK/Europe</t>
        </is>
      </c>
      <c r="E40" s="2" t="inlineStr">
        <is>
          <t>Global wealth-insurance sales jump 46% over two years as high-net-worth planning needs evolve</t>
        </is>
      </c>
      <c r="F40" s="2" t="inlineStr">
        <is>
          <t>International wealth insurance sales rose from £36.4 billion to £53 billion between 2023 and 2025, a roughly 21% compound annual growth rate, as affluent clients increasingly use insurance wrappers for cross-border wealth planning.</t>
        </is>
      </c>
      <c r="G40" s="2" t="inlineStr">
        <is>
          <t>Law360</t>
        </is>
      </c>
      <c r="H40" s="2" t="inlineStr">
        <is>
          <t>https://www.law360.com/financial-services-uk/articles/2509817</t>
        </is>
      </c>
      <c r="I40" s="2" t="inlineStr">
        <is>
          <t>2026-08-10</t>
        </is>
      </c>
    </row>
    <row r="41">
      <c r="A41" s="2" t="inlineStr">
        <is>
          <t>2026-08-22</t>
        </is>
      </c>
      <c r="B41" s="2" t="inlineStr">
        <is>
          <t>Life &amp; Annuities</t>
        </is>
      </c>
      <c r="C41" s="2" t="inlineStr">
        <is>
          <t>M&amp;A</t>
        </is>
      </c>
      <c r="D41" s="2" t="inlineStr">
        <is>
          <t>United States</t>
        </is>
      </c>
      <c r="E41" s="2" t="inlineStr">
        <is>
          <t>ManhattanLife extends its buyout streak with Union Security Life acquisition</t>
        </is>
      </c>
      <c r="F41" s="2" t="inlineStr">
        <is>
          <t>The Manhattan Life Insurance Company completed its purchase of Union Security Life Insurance Company of New York from Assurant, adding a New York life, annuity and accident-and-health block to a growth strategy built on more than 100 prior company and block acquisitions.</t>
        </is>
      </c>
      <c r="G41" s="2" t="inlineStr">
        <is>
          <t>citybiz</t>
        </is>
      </c>
      <c r="H41" s="2" t="inlineStr">
        <is>
          <t>https://www.citybiz.co/article/889032/manhattanlife-acquires-union-security-life-insurance-company-of-new-york/</t>
        </is>
      </c>
      <c r="I41" s="2" t="inlineStr">
        <is>
          <t>2026-08-10</t>
        </is>
      </c>
    </row>
    <row r="42">
      <c r="A42" s="2" t="inlineStr">
        <is>
          <t>2026-08-22</t>
        </is>
      </c>
      <c r="B42" s="2" t="inlineStr">
        <is>
          <t>Wealth Management</t>
        </is>
      </c>
      <c r="C42" s="2" t="inlineStr">
        <is>
          <t>Market Economics</t>
        </is>
      </c>
      <c r="D42" s="2" t="inlineStr">
        <is>
          <t>India</t>
        </is>
      </c>
      <c r="E42" s="2" t="inlineStr">
        <is>
          <t>Motilal Oswal's asset management arm tops ₹2 trillion in assets</t>
        </is>
      </c>
      <c r="F42" s="2" t="inlineStr">
        <is>
          <t>Motilal Oswal AMC said its combined mutual fund, alternatives and portfolio-management assets crossed ₹2 trillion in August 2026, helped by new product launches and steady SIP inflows through the fiscal year.</t>
        </is>
      </c>
      <c r="G42" s="2" t="inlineStr">
        <is>
          <t>Business Standard</t>
        </is>
      </c>
      <c r="H42" s="2" t="inlineStr">
        <is>
          <t>https://www.business-standard.com/markets/news/motilal-oswal-amc-surpasses-2-trillion-assets-under-management-in-august-126081000921_1.html</t>
        </is>
      </c>
      <c r="I42" s="2" t="inlineStr">
        <is>
          <t>2026-08-10</t>
        </is>
      </c>
    </row>
    <row r="43">
      <c r="A43" s="2" t="inlineStr">
        <is>
          <t>2026-08-23</t>
        </is>
      </c>
      <c r="B43" s="2" t="inlineStr">
        <is>
          <t>Life &amp; Annuities</t>
        </is>
      </c>
      <c r="C43" s="2" t="inlineStr">
        <is>
          <t>People &amp; Leadership</t>
        </is>
      </c>
      <c r="D43" s="2" t="inlineStr">
        <is>
          <t>Global</t>
        </is>
      </c>
      <c r="E43" s="2" t="inlineStr">
        <is>
          <t>Sun Life lines up Joseph Natale to take over as board chair from Scott Powers</t>
        </is>
      </c>
      <c r="F43" s="2" t="inlineStr">
        <is>
          <t>Sun Life Financial disclosed that Scott Powers will step down as chair after completing his term following the 2027 annual meeting, with Joseph Natale set to succeed him at the helm of the board.</t>
        </is>
      </c>
      <c r="G43" s="2" t="inlineStr">
        <is>
          <t>SEC EDGAR (Sun Life Financial 6-K)</t>
        </is>
      </c>
      <c r="H43" s="2" t="inlineStr">
        <is>
          <t>https://www.sec.gov/Archives/edgar/data/0001097362/000127956926000755/ex991.pdf</t>
        </is>
      </c>
      <c r="I43" s="2" t="inlineStr">
        <is>
          <t>2026-08-10</t>
        </is>
      </c>
    </row>
    <row r="44">
      <c r="A44" s="2" t="inlineStr">
        <is>
          <t>2026-08-26</t>
        </is>
      </c>
      <c r="B44" s="2" t="inlineStr">
        <is>
          <t>Healthcare / Provider &amp; Clinical</t>
        </is>
      </c>
      <c r="C44" s="2" t="inlineStr">
        <is>
          <t>Technology &amp; AI</t>
        </is>
      </c>
      <c r="D44" s="2" t="inlineStr">
        <is>
          <t>Global</t>
        </is>
      </c>
      <c r="E44" s="2" t="inlineStr">
        <is>
          <t>Weekly clinical AI use nearly doubles among doctors and nurses, Wolters Kluwer finds</t>
        </is>
      </c>
      <c r="F44" s="2" t="inlineStr">
        <is>
          <t>A Wolters Kluwer Health 2026 survey found nearly three-quarters of doctors and 70% of nurses now use AI at least weekly at work, up sharply from 38% and 46% respectively a year earlier.</t>
        </is>
      </c>
      <c r="G44" s="2" t="inlineStr">
        <is>
          <t>Fierce Healthcare</t>
        </is>
      </c>
      <c r="H44" s="2" t="inlineStr">
        <is>
          <t>https://www.fiercehealthcare.com/ai-and-machine-learning/wolts-kluwer-health-survey-examines-ai-use-concerns-among-clinicians</t>
        </is>
      </c>
      <c r="I44" s="2" t="inlineStr">
        <is>
          <t>2026-08-10</t>
        </is>
      </c>
    </row>
    <row r="45">
      <c r="A45" s="2" t="inlineStr">
        <is>
          <t>2026-08-30</t>
        </is>
      </c>
      <c r="B45" s="2" t="inlineStr">
        <is>
          <t>Health Insurance / Payer</t>
        </is>
      </c>
      <c r="C45" s="2" t="inlineStr">
        <is>
          <t>Market Economics</t>
        </is>
      </c>
      <c r="D45" s="2" t="inlineStr">
        <is>
          <t>United States</t>
        </is>
      </c>
      <c r="E45" s="2" t="inlineStr">
        <is>
          <t>Insurer exits keep thinning Medicare Advantage options for enrollees</t>
        </is>
      </c>
      <c r="F45" s="2" t="inlineStr">
        <is>
          <t>Becker's Payer Issues tracks a continuing pattern of Medicare Advantage insurer exits and pullbacks in 2026, with a JAMA study finding roughly 10% of MA enrollees had to disenroll and find new coverage after their plans left the market.</t>
        </is>
      </c>
      <c r="G45" s="2" t="inlineStr">
        <is>
          <t>Becker's Payer Issues</t>
        </is>
      </c>
      <c r="H45" s="2" t="inlineStr">
        <is>
          <t>https://www.beckerspayer.com/payer/medicare-advantage/5-insurers-stepping-back-from-medicare-advantage/</t>
        </is>
      </c>
      <c r="I45" s="2" t="inlineStr">
        <is>
          <t>2026-08-10</t>
        </is>
      </c>
    </row>
    <row r="46">
      <c r="A46" s="2" t="inlineStr">
        <is>
          <t>2026-08-31</t>
        </is>
      </c>
      <c r="B46" s="2" t="inlineStr">
        <is>
          <t>Brokers &amp; MGA/GA</t>
        </is>
      </c>
      <c r="C46" s="2" t="inlineStr">
        <is>
          <t>Regulatory &amp; Policy</t>
        </is>
      </c>
      <c r="D46" s="2" t="inlineStr">
        <is>
          <t>APAC</t>
        </is>
      </c>
      <c r="E46" s="2" t="inlineStr">
        <is>
          <t>Hong Kong curbs first-year insurance commissions amid soaring mainland demand</t>
        </is>
      </c>
      <c r="F46" s="2" t="inlineStr">
        <is>
          <t>The city's insurance authority tightened first-year commission structures for its more than 800 licensed broker companies as mainland Chinese buyers continue to drive a surge in long-term policy sales.</t>
        </is>
      </c>
      <c r="G46" s="2" t="inlineStr">
        <is>
          <t>Asia Insurance Review</t>
        </is>
      </c>
      <c r="H46" s="2" t="inlineStr">
        <is>
          <t>https://www.asiainsurancereview.com/News/View-NewsLetter-Article/id/92507/Type/eCin/Hong-Kong-curbs-first-year-insurance-commissions-amid-soaring-mainland-demand</t>
        </is>
      </c>
      <c r="I46" s="2" t="inlineStr">
        <is>
          <t>2026-08-10</t>
        </is>
      </c>
    </row>
    <row r="47">
      <c r="A47" s="2" t="inlineStr">
        <is>
          <t>2026-08-31</t>
        </is>
      </c>
      <c r="B47" s="2" t="inlineStr">
        <is>
          <t>Healthcare / Provider &amp; Clinical</t>
        </is>
      </c>
      <c r="C47" s="2" t="inlineStr">
        <is>
          <t>M&amp;A</t>
        </is>
      </c>
      <c r="D47" s="2" t="inlineStr">
        <is>
          <t>United States</t>
        </is>
      </c>
      <c r="E47" s="2" t="inlineStr">
        <is>
          <t>York Hospital-MaineHealth merger clears state approval, set to close October 1</t>
        </is>
      </c>
      <c r="F47" s="2" t="inlineStr">
        <is>
          <t>Maine regulators approved the merger after York Hospital said it could no longer operate independently amid rising labor and supply costs, with conditions barring service cuts in southern York County for three years without state notice.</t>
        </is>
      </c>
      <c r="G47" s="2" t="inlineStr">
        <is>
          <t>Press Herald</t>
        </is>
      </c>
      <c r="H47" s="2" t="inlineStr">
        <is>
          <t>https://www.pressherald.com/2026/08/10/york-hospital-mainehealth-merger-advances-after-state-approval/</t>
        </is>
      </c>
      <c r="I47" s="2" t="inlineStr">
        <is>
          <t>2026-08-10</t>
        </is>
      </c>
    </row>
    <row r="48">
      <c r="A48" s="2" t="inlineStr">
        <is>
          <t>2026-09-01</t>
        </is>
      </c>
      <c r="B48" s="2" t="inlineStr">
        <is>
          <t>Insurtech</t>
        </is>
      </c>
      <c r="C48" s="2" t="inlineStr">
        <is>
          <t>Technology &amp; AI</t>
        </is>
      </c>
      <c r="D48" s="2" t="inlineStr">
        <is>
          <t>Global</t>
        </is>
      </c>
      <c r="E48" s="2" t="inlineStr">
        <is>
          <t>AI-labeled insurtechs capture 99% of second-quarter funding as early-stage deals cool</t>
        </is>
      </c>
      <c r="F48" s="2" t="inlineStr">
        <is>
          <t>AI-focused insurtechs absorbed 99.1% of all Q2 2026 insurtech funding, or $2.42 billion, even as early-stage deal activity slowed, extending a run in which AI has dominated investor interest in the sector.</t>
        </is>
      </c>
      <c r="G48" s="2" t="inlineStr">
        <is>
          <t>Risk &amp; Insurance</t>
        </is>
      </c>
      <c r="H48" s="2" t="inlineStr">
        <is>
          <t>https://riskandinsurance.com/ai-dominates-insurtech-funding-in-q2-as-early-stage-deals-cool-sharply/</t>
        </is>
      </c>
      <c r="I48" s="2" t="inlineStr">
        <is>
          <t>2026-08-10</t>
        </is>
      </c>
    </row>
    <row r="49">
      <c r="A49" s="2" t="inlineStr">
        <is>
          <t>2026-09-02</t>
        </is>
      </c>
      <c r="B49" s="2" t="inlineStr">
        <is>
          <t>Retirement</t>
        </is>
      </c>
      <c r="C49" s="2" t="inlineStr">
        <is>
          <t>Technology &amp; AI</t>
        </is>
      </c>
      <c r="D49" s="2" t="inlineStr">
        <is>
          <t>United States</t>
        </is>
      </c>
      <c r="E49" s="2" t="inlineStr">
        <is>
          <t>TIAA and Nuveen's lifetime-income target-date funds cross 1,000 employer plans</t>
        </is>
      </c>
      <c r="F49" s="2" t="inlineStr">
        <is>
          <t>TIAA and Nuveen said their suite of target-date funds with built-in annuity options, including TIAA RetirePlus and the Nuveen Lifecycle Income CIT series, has now been adopted by more than 1,000 employer retirement plans.</t>
        </is>
      </c>
      <c r="G49" s="2" t="inlineStr">
        <is>
          <t>401k Specialist</t>
        </is>
      </c>
      <c r="H49" s="2" t="inlineStr">
        <is>
          <t>https://401kspecialistmag.com/tiaa-nuveen-reach-1000-employer-milestone-with-lifetime-income-tdfs/</t>
        </is>
      </c>
      <c r="I49" s="2" t="inlineStr">
        <is>
          <t>2026-08-10</t>
        </is>
      </c>
    </row>
    <row r="50">
      <c r="A50" s="2" t="inlineStr">
        <is>
          <t>2026-09-03</t>
        </is>
      </c>
      <c r="B50" s="2" t="inlineStr">
        <is>
          <t>Healthcare / Provider &amp; Clinical</t>
        </is>
      </c>
      <c r="C50" s="2" t="inlineStr">
        <is>
          <t>Regulatory &amp; Policy</t>
        </is>
      </c>
      <c r="D50" s="2" t="inlineStr">
        <is>
          <t>United States</t>
        </is>
      </c>
      <c r="E50" s="2" t="inlineStr">
        <is>
          <t>HHS seeks public input on accelerating AI adoption across clinical care</t>
        </is>
      </c>
      <c r="F50" s="2" t="inlineStr">
        <is>
          <t>The Department of Health and Human Services issued a broad request for information asking how federal regulatory, reimbursement, and research powers could be used to speed the adoption of AI tools in clinical settings.</t>
        </is>
      </c>
      <c r="G50" s="2" t="inlineStr">
        <is>
          <t>Chief Healthcare Executive</t>
        </is>
      </c>
      <c r="H50" s="2" t="inlineStr">
        <is>
          <t>https://www.chiefhealthcareexecutive.com/view/ai-in-health-care-26-leaders-offer-predictions-for-2026</t>
        </is>
      </c>
      <c r="I50" s="2" t="inlineStr">
        <is>
          <t>2026-08-10</t>
        </is>
      </c>
    </row>
    <row r="51">
      <c r="A51" s="2" t="inlineStr">
        <is>
          <t>2026-08-12</t>
        </is>
      </c>
      <c r="B51" s="2" t="inlineStr">
        <is>
          <t>Investments</t>
        </is>
      </c>
      <c r="C51" s="2" t="inlineStr">
        <is>
          <t>Market Economics</t>
        </is>
      </c>
      <c r="D51" s="2" t="inlineStr">
        <is>
          <t>United States</t>
        </is>
      </c>
      <c r="E51" s="2" t="inlineStr">
        <is>
          <t>Artisan Partners reports $183 billion in preliminary assets under management</t>
        </is>
      </c>
      <c r="F51" s="2" t="inlineStr">
        <is>
          <t>Asset manager Artisan Partners disclosed preliminary AUM of roughly $183 billion as of July 31, 2026, in a regulatory filing.</t>
        </is>
      </c>
      <c r="G51" s="2" t="inlineStr">
        <is>
          <t>SEC EDGAR (Artisan Partners 8-K)</t>
        </is>
      </c>
      <c r="H51" s="2" t="inlineStr">
        <is>
          <t>https://www.sec.gov/Archives/edgar/data/0001517302/000151730226000116/july_07x2026xaumxrelease.htm</t>
        </is>
      </c>
      <c r="I51" s="2" t="inlineStr">
        <is>
          <t>2026-08-11</t>
        </is>
      </c>
    </row>
    <row r="52">
      <c r="A52" s="2" t="inlineStr">
        <is>
          <t>2026-08-13</t>
        </is>
      </c>
      <c r="B52" s="2" t="inlineStr">
        <is>
          <t>BrokerTech</t>
        </is>
      </c>
      <c r="C52" s="2" t="inlineStr">
        <is>
          <t>Technology &amp; AI</t>
        </is>
      </c>
      <c r="D52" s="2" t="inlineStr">
        <is>
          <t>United States</t>
        </is>
      </c>
      <c r="E52" s="2" t="inlineStr">
        <is>
          <t>BrokerTech Ventures sets Chicago convening for late August with growing sponsor lineup</t>
        </is>
      </c>
      <c r="F52" s="2" t="inlineStr">
        <is>
          <t>BrokerTech Ventures announced BrokerTech Connect: Chicago, running August 31-September 2, bringing together brokers, carriers, investors and insurtech founders for sessions on AI and the next generation of digital-first insurance organizations.</t>
        </is>
      </c>
      <c r="G52" s="2" t="inlineStr">
        <is>
          <t>PR Newswire</t>
        </is>
      </c>
      <c r="H52" s="2" t="inlineStr">
        <is>
          <t>https://www.prnewswire.com/news-releases/brokertech-connect-chicago-set-for-august-31september-2-announces-growing-sponsor-lineup-and-industry-programming-302848488.html</t>
        </is>
      </c>
      <c r="I52" s="2" t="inlineStr">
        <is>
          <t>2026-08-11</t>
        </is>
      </c>
    </row>
    <row r="53">
      <c r="A53" s="2" t="inlineStr">
        <is>
          <t>2026-08-14</t>
        </is>
      </c>
      <c r="B53" s="2" t="inlineStr">
        <is>
          <t>BrokerTech</t>
        </is>
      </c>
      <c r="C53" s="2" t="inlineStr">
        <is>
          <t>Technology &amp; AI</t>
        </is>
      </c>
      <c r="D53" s="2" t="inlineStr">
        <is>
          <t>United States</t>
        </is>
      </c>
      <c r="E53" s="2" t="inlineStr">
        <is>
          <t>SUPERAGENT launches 3.0, billed as an AI 'business partner' for insurance agencies</t>
        </is>
      </c>
      <c r="F53" s="2" t="inlineStr">
        <is>
          <t>SUPERAGENT released version 3.0 on August 11, replacing traditional agency-software navigation with a conversational AI layer that executes calls, campaigns, renewals and training tasks using live agency data.</t>
        </is>
      </c>
      <c r="G53" s="2" t="inlineStr">
        <is>
          <t>Yahoo Finance / PRWeb</t>
        </is>
      </c>
      <c r="H53" s="2" t="inlineStr">
        <is>
          <t>https://finance.yahoo.com/technology/ai/articles/superagent-ai-3-0-launches-121700984.html</t>
        </is>
      </c>
      <c r="I53" s="2" t="inlineStr">
        <is>
          <t>2026-08-11</t>
        </is>
      </c>
    </row>
    <row r="54">
      <c r="A54" s="2" t="inlineStr">
        <is>
          <t>2026-08-14</t>
        </is>
      </c>
      <c r="B54" s="2" t="inlineStr">
        <is>
          <t>FinTech</t>
        </is>
      </c>
      <c r="C54" s="2" t="inlineStr">
        <is>
          <t>Investments &amp; Funding</t>
        </is>
      </c>
      <c r="D54" s="2" t="inlineStr">
        <is>
          <t>Global</t>
        </is>
      </c>
      <c r="E54" s="2" t="inlineStr">
        <is>
          <t>Fisent Technologies raises $4.3 million to scale AI automation for regulated finance firms</t>
        </is>
      </c>
      <c r="F54" s="2" t="inlineStr">
        <is>
          <t>Fisent Technologies closed a $4.3 million venture round led by FINTOP, with FINTOP partner John Philpott joining its board, to expand its agentic AI platform for banking, insurance and wealth management workflows.</t>
        </is>
      </c>
      <c r="G54" s="2" t="inlineStr">
        <is>
          <t>GlobeNewswire</t>
        </is>
      </c>
      <c r="H54" s="2" t="inlineStr">
        <is>
          <t>https://www.globenewswire.com/news-release/2026/08/11/3342803/0/en/fisent-technologies-accelerates-growth-with-4-3-million-venture-round-to-expand-adoption-of-applied-genai-process-automation-for-regulated-enterprises.html</t>
        </is>
      </c>
      <c r="I54" s="2" t="inlineStr">
        <is>
          <t>2026-08-11</t>
        </is>
      </c>
    </row>
    <row r="55">
      <c r="A55" s="2" t="inlineStr">
        <is>
          <t>2026-08-14</t>
        </is>
      </c>
      <c r="B55" s="2" t="inlineStr">
        <is>
          <t>Wealth Management</t>
        </is>
      </c>
      <c r="C55" s="2" t="inlineStr">
        <is>
          <t>M&amp;A</t>
        </is>
      </c>
      <c r="D55" s="2" t="inlineStr">
        <is>
          <t>United States</t>
        </is>
      </c>
      <c r="E55" s="2" t="inlineStr">
        <is>
          <t>Wealth Enhancement adds $592 million Illinois RIA Miramar Capital</t>
        </is>
      </c>
      <c r="F55" s="2" t="inlineStr">
        <is>
          <t>Wealth Enhancement acquired the investment advisory business of Miramar Capital, a Northbrook, Illinois-based independent RIA led by Bob Kalman and Max Wasserman that manages more than $592 million in client assets.</t>
        </is>
      </c>
      <c r="G55" s="2" t="inlineStr">
        <is>
          <t>PR Newswire</t>
        </is>
      </c>
      <c r="H55" s="2" t="inlineStr">
        <is>
          <t>https://www.prnewswire.com/news-releases/wealth-enhancement-announces-acquisition-of-miramar-capital-an-independent-ria-with-over-592-million-in-client-assets-302842284.html</t>
        </is>
      </c>
      <c r="I55" s="2" t="inlineStr">
        <is>
          <t>2026-08-11</t>
        </is>
      </c>
    </row>
    <row r="56">
      <c r="A56" s="2" t="inlineStr">
        <is>
          <t>2026-08-15</t>
        </is>
      </c>
      <c r="B56" s="2" t="inlineStr">
        <is>
          <t>FinTech</t>
        </is>
      </c>
      <c r="C56" s="2" t="inlineStr">
        <is>
          <t>Technology &amp; AI</t>
        </is>
      </c>
      <c r="D56" s="2" t="inlineStr">
        <is>
          <t>Global</t>
        </is>
      </c>
      <c r="E56" s="2" t="inlineStr">
        <is>
          <t>Insurers sit on an underused distribution-data goldmine, industry analysis finds</t>
        </is>
      </c>
      <c r="F56" s="2" t="inlineStr">
        <is>
          <t>Carriers, MGAs and agencies have modernized their distribution technology in recent years but are still leaving significant value on the table from the data those systems generate, according to industry analysis.</t>
        </is>
      </c>
      <c r="G56" s="2" t="inlineStr">
        <is>
          <t>FinTech Global</t>
        </is>
      </c>
      <c r="H56" s="2" t="inlineStr">
        <is>
          <t>https://fintech.global/2026/08/11/insurers-are-sitting-on-a-distribution-data-goldmine/</t>
        </is>
      </c>
      <c r="I56" s="2" t="inlineStr">
        <is>
          <t>2026-08-11</t>
        </is>
      </c>
    </row>
    <row r="57">
      <c r="A57" s="2" t="inlineStr">
        <is>
          <t>2026-08-15</t>
        </is>
      </c>
      <c r="B57" s="2" t="inlineStr">
        <is>
          <t>Wealth Management</t>
        </is>
      </c>
      <c r="C57" s="2" t="inlineStr">
        <is>
          <t>Technology &amp; AI</t>
        </is>
      </c>
      <c r="D57" s="2" t="inlineStr">
        <is>
          <t>Global</t>
        </is>
      </c>
      <c r="E57" s="2" t="inlineStr">
        <is>
          <t>AI is reshaping wealth advisors' role rather than replacing them, analysts say</t>
        </is>
      </c>
      <c r="F57" s="2" t="inlineStr">
        <is>
          <t>LSEG Data &amp; Analytics finds AI is shifting financial advisors away from manual information-gathering toward insight orchestration and client judgment, rather than displacing the advisor relationship.</t>
        </is>
      </c>
      <c r="G57" s="2" t="inlineStr">
        <is>
          <t>FinTech Global</t>
        </is>
      </c>
      <c r="H57" s="2" t="inlineStr">
        <is>
          <t>https://fintech.global/2026/08/11/ai-wont-replace-wealth-advisors-it-will-redefine-them/</t>
        </is>
      </c>
      <c r="I57" s="2" t="inlineStr">
        <is>
          <t>2026-08-11</t>
        </is>
      </c>
    </row>
    <row r="58">
      <c r="A58" s="2" t="inlineStr">
        <is>
          <t>2026-08-16</t>
        </is>
      </c>
      <c r="B58" s="2" t="inlineStr">
        <is>
          <t>Insurtech</t>
        </is>
      </c>
      <c r="C58" s="2" t="inlineStr">
        <is>
          <t>Investments &amp; Funding</t>
        </is>
      </c>
      <c r="D58" s="2" t="inlineStr">
        <is>
          <t>United States</t>
        </is>
      </c>
      <c r="E58" s="2" t="inlineStr">
        <is>
          <t>Insurance data startup Axle raises $17.5 million Series A</t>
        </is>
      </c>
      <c r="F58" s="2" t="inlineStr">
        <is>
          <t>Axle, a startup building data infrastructure for the insurance industry, raised $17.5 million in a Series A round led by Base10 Partners, part of continued investor interest in vertical software for complex industries.</t>
        </is>
      </c>
      <c r="G58" s="2" t="inlineStr">
        <is>
          <t>Under30CEO</t>
        </is>
      </c>
      <c r="H58" s="2" t="inlineStr">
        <is>
          <t>https://www.under30ceo.com/insurtech-startups-axle-series-a/</t>
        </is>
      </c>
      <c r="I58" s="2" t="inlineStr">
        <is>
          <t>2026-08-11</t>
        </is>
      </c>
    </row>
    <row r="59">
      <c r="A59" s="2" t="inlineStr">
        <is>
          <t>2026-08-17</t>
        </is>
      </c>
      <c r="B59" s="2" t="inlineStr">
        <is>
          <t>Life &amp; Annuities</t>
        </is>
      </c>
      <c r="C59" s="2" t="inlineStr">
        <is>
          <t>Market Economics</t>
        </is>
      </c>
      <c r="D59" s="2" t="inlineStr">
        <is>
          <t>United States</t>
        </is>
      </c>
      <c r="E59" s="2" t="inlineStr">
        <is>
          <t>Jackson Financial posts record Q2 profit as annuity sales jump 34%</t>
        </is>
      </c>
      <c r="F59" s="2" t="inlineStr">
        <is>
          <t>Jackson Financial reported record second-quarter 2026 net income of $644 million and retail annuity sales of $5.9 billion, up 34% year-over-year, driven by record registered index-linked annuity volume.</t>
        </is>
      </c>
      <c r="G59" s="2" t="inlineStr">
        <is>
          <t>StockTitan</t>
        </is>
      </c>
      <c r="H59" s="2" t="inlineStr">
        <is>
          <t>https://www.stocktitan.net/sec-filings/JXN/8-k-jackson-financial-inc-reports-material-event-ce0da49bff6e.html</t>
        </is>
      </c>
      <c r="I59" s="2" t="inlineStr">
        <is>
          <t>2026-08-11</t>
        </is>
      </c>
    </row>
    <row r="60">
      <c r="A60" s="2" t="inlineStr">
        <is>
          <t>2026-08-17</t>
        </is>
      </c>
      <c r="B60" s="2" t="inlineStr">
        <is>
          <t>Wealth Management</t>
        </is>
      </c>
      <c r="C60" s="2" t="inlineStr">
        <is>
          <t>People &amp; Leadership</t>
        </is>
      </c>
      <c r="D60" s="2" t="inlineStr">
        <is>
          <t>United States</t>
        </is>
      </c>
      <c r="E60" s="2" t="inlineStr">
        <is>
          <t>Edelman Financial Engines names first retirement advisory chief as wealth managers deepen leadership benches</t>
        </is>
      </c>
      <c r="F60" s="2" t="inlineStr">
        <is>
          <t>Edelman Financial Engines hired Christian Mango to lead a new retirement advisory practice, part of a wave of senior wealth-management hires this month that also saw Perigon Wealth Management add a chief people officer role.</t>
        </is>
      </c>
      <c r="G60" s="2" t="inlineStr">
        <is>
          <t>WealthManagement.com</t>
        </is>
      </c>
      <c r="H60" s="2" t="inlineStr">
        <is>
          <t>https://www.wealthmanagement.com/ria-news/people-moves-compound-hires-wealth-head-from-focus-perigon-names-hr-chief</t>
        </is>
      </c>
      <c r="I60" s="2" t="inlineStr">
        <is>
          <t>2026-08-11</t>
        </is>
      </c>
    </row>
    <row r="61">
      <c r="A61" s="2" t="inlineStr">
        <is>
          <t>2026-08-18</t>
        </is>
      </c>
      <c r="B61" s="2" t="inlineStr">
        <is>
          <t>Brokers &amp; MGA/GA</t>
        </is>
      </c>
      <c r="C61" s="2" t="inlineStr">
        <is>
          <t>M&amp;A</t>
        </is>
      </c>
      <c r="D61" s="2" t="inlineStr">
        <is>
          <t>UK/Europe</t>
        </is>
      </c>
      <c r="E61" s="2" t="inlineStr">
        <is>
          <t>UK Broker Consolidators Keep Buying as Independent Mid-Market Firms Shrink</t>
        </is>
      </c>
      <c r="F61" s="2" t="inlineStr">
        <is>
          <t>Private-equity-backed UK broker groups continue snapping up smaller firms, with Clear's purchase of Pangea Insurance Brokers and Pangea Life and Seventeen Group's acquisition of 1st Choice Insurance among recent deals, as nearly a third of once mid-sized independents have now sold.</t>
        </is>
      </c>
      <c r="G61" s="2" t="inlineStr">
        <is>
          <t>Insurance Business UK</t>
        </is>
      </c>
      <c r="H61" s="2" t="inlineStr">
        <is>
          <t>https://www.insurancebusinessmag.com/uk/news/mergers-acquisitions/broker-consolidation-is-forcing-a-debate-about-value-577555.aspx</t>
        </is>
      </c>
      <c r="I61" s="2" t="inlineStr">
        <is>
          <t>2026-08-11</t>
        </is>
      </c>
    </row>
    <row r="62">
      <c r="A62" s="2" t="inlineStr">
        <is>
          <t>2026-08-18</t>
        </is>
      </c>
      <c r="B62" s="2" t="inlineStr">
        <is>
          <t>Retirement</t>
        </is>
      </c>
      <c r="C62" s="2" t="inlineStr">
        <is>
          <t>M&amp;A</t>
        </is>
      </c>
      <c r="D62" s="2" t="inlineStr">
        <is>
          <t>UK/Europe</t>
        </is>
      </c>
      <c r="E62" s="2" t="inlineStr">
        <is>
          <t>Royal London lands twin bulk annuity deals from UK charitable pension schemes</t>
        </is>
      </c>
      <c r="F62" s="2" t="inlineStr">
        <is>
          <t>The Royal Horticultural Society and Royal Society of Chemistry each secured buy-in transactions with Royal London this week, transferring the benefits of more than 700 defined-benefit scheme members combined ahead of the insurer's first individual buyout conversions later in 2026.</t>
        </is>
      </c>
      <c r="G62" s="2" t="inlineStr">
        <is>
          <t>Pensions Expert</t>
        </is>
      </c>
      <c r="H62" s="2" t="inlineStr">
        <is>
          <t>https://www.pensions-expert.com/defined-benefit/bulk-annuities-two-royal-societies-secure-buy-ins-for-db-schemes/70396.article</t>
        </is>
      </c>
      <c r="I62" s="2" t="inlineStr">
        <is>
          <t>2026-08-11</t>
        </is>
      </c>
    </row>
    <row r="63">
      <c r="A63" s="2" t="inlineStr">
        <is>
          <t>2026-08-20</t>
        </is>
      </c>
      <c r="B63" s="2" t="inlineStr">
        <is>
          <t>Healthcare / Provider &amp; Clinical</t>
        </is>
      </c>
      <c r="C63" s="2" t="inlineStr">
        <is>
          <t>Regulatory &amp; Policy</t>
        </is>
      </c>
      <c r="D63" s="2" t="inlineStr">
        <is>
          <t>United States</t>
        </is>
      </c>
      <c r="E63" s="2" t="inlineStr">
        <is>
          <t>Massachusetts orders $8.4 million in dental insurance rebates under first-in-nation law</t>
        </is>
      </c>
      <c r="F63" s="2" t="inlineStr">
        <is>
          <t>Massachusetts became the first state to enforce dental-insurer rebates, ordering six carriers including Blue Cross Blue Shield and Guardian to return $8.4 million to policyholders after missing the state's 83% dental loss-ratio threshold.</t>
        </is>
      </c>
      <c r="G63" s="2" t="inlineStr">
        <is>
          <t>American Dental Association News</t>
        </is>
      </c>
      <c r="H63" s="2" t="inlineStr">
        <is>
          <t>https://adanews.ada.org/ada-news/2026/august/massachusetts-orders-84-million-in-dental-insurance-rebates-under-loss-ratio-law</t>
        </is>
      </c>
      <c r="I63" s="2" t="inlineStr">
        <is>
          <t>2026-08-11</t>
        </is>
      </c>
    </row>
    <row r="64">
      <c r="A64" s="2" t="inlineStr">
        <is>
          <t>2026-08-20</t>
        </is>
      </c>
      <c r="B64" s="2" t="inlineStr">
        <is>
          <t>Insurtech</t>
        </is>
      </c>
      <c r="C64" s="2" t="inlineStr">
        <is>
          <t>Regulatory &amp; Policy</t>
        </is>
      </c>
      <c r="D64" s="2" t="inlineStr">
        <is>
          <t>UK/Europe</t>
        </is>
      </c>
      <c r="E64" s="2" t="inlineStr">
        <is>
          <t>FCA fast-tracks insurtech Urban Jungle after its IKEA embedded-insurance launch</t>
        </is>
      </c>
      <c r="F64" s="2" t="inlineStr">
        <is>
          <t>The UK's FCA selected home-insurance insurtech Urban Jungle for its Scale-up Unit, the only insurtech among five firms chosen, days after Urban Jungle launched an embedded home-insurance partnership with IKEA's UK stores.</t>
        </is>
      </c>
      <c r="G64" s="2" t="inlineStr">
        <is>
          <t>Insurance Business UK</t>
        </is>
      </c>
      <c r="H64" s="2" t="inlineStr">
        <is>
          <t>https://www.insurancebusinessmag.com/uk/news/technology/fca-fasttracks-insurtech-behind-ikea-insurance-push-585501.aspx</t>
        </is>
      </c>
      <c r="I64" s="2" t="inlineStr">
        <is>
          <t>2026-08-11</t>
        </is>
      </c>
    </row>
    <row r="65">
      <c r="A65" s="2" t="inlineStr">
        <is>
          <t>2026-08-21</t>
        </is>
      </c>
      <c r="B65" s="2" t="inlineStr">
        <is>
          <t>Brokers &amp; MGA/GA</t>
        </is>
      </c>
      <c r="C65" s="2" t="inlineStr">
        <is>
          <t>M&amp;A</t>
        </is>
      </c>
      <c r="D65" s="2" t="inlineStr">
        <is>
          <t>United States</t>
        </is>
      </c>
      <c r="E65" s="2" t="inlineStr">
        <is>
          <t>Marsh McLennan Agency to acquire Iowa's Accel Holdings, expanding Midwest footprint</t>
        </is>
      </c>
      <c r="F65" s="2" t="inlineStr">
        <is>
          <t>MMA agreed to acquire the 90-year-old, employee-owned Accel Group, adding agribusiness, wealth management and retirement advisory capabilities across seven offices in Iowa, Illinois, Missouri and Kansas.</t>
        </is>
      </c>
      <c r="G65" s="2" t="inlineStr">
        <is>
          <t>Insurance Journal</t>
        </is>
      </c>
      <c r="H65" s="2" t="inlineStr">
        <is>
          <t>https://www.insurancejournal.com/news/midwest/2026/08/11/881082.htm</t>
        </is>
      </c>
      <c r="I65" s="2" t="inlineStr">
        <is>
          <t>2026-08-11</t>
        </is>
      </c>
    </row>
    <row r="66">
      <c r="A66" s="2" t="inlineStr">
        <is>
          <t>2026-08-21</t>
        </is>
      </c>
      <c r="B66" s="2" t="inlineStr">
        <is>
          <t>Investments</t>
        </is>
      </c>
      <c r="C66" s="2" t="inlineStr">
        <is>
          <t>Market Economics</t>
        </is>
      </c>
      <c r="D66" s="2" t="inlineStr">
        <is>
          <t>Global</t>
        </is>
      </c>
      <c r="E66" s="2" t="inlineStr">
        <is>
          <t>Insurers keep raising private credit exposure despite market jitters, survey finds</t>
        </is>
      </c>
      <c r="F66" s="2" t="inlineStr">
        <is>
          <t>More than half of insurers surveyed plan to increase private credit exposure over the next two years, according to Goldman Sachs Asset Management's 2026 Global Insurance Survey, even as investor anxiety over loan defaults and credit quality has grown.</t>
        </is>
      </c>
      <c r="G66" s="2" t="inlineStr">
        <is>
          <t>Chief Investment Officer</t>
        </is>
      </c>
      <c r="H66" s="2" t="inlineStr">
        <is>
          <t>https://www.ai-cio.com/news/despite-private-credit-worries-insurers-demand-for-alts-remains-strong/</t>
        </is>
      </c>
      <c r="I66" s="2" t="inlineStr">
        <is>
          <t>2026-08-11</t>
        </is>
      </c>
    </row>
    <row r="67">
      <c r="A67" s="2" t="inlineStr">
        <is>
          <t>2026-08-22</t>
        </is>
      </c>
      <c r="B67" s="2" t="inlineStr">
        <is>
          <t>Life &amp; Annuities</t>
        </is>
      </c>
      <c r="C67" s="2" t="inlineStr">
        <is>
          <t>Investments &amp; Funding</t>
        </is>
      </c>
      <c r="D67" s="2" t="inlineStr">
        <is>
          <t>United States</t>
        </is>
      </c>
      <c r="E67" s="2" t="inlineStr">
        <is>
          <t>MassMutual Ascend's advisory annuity business crosses $2 billion in lifetime sales</t>
        </is>
      </c>
      <c r="F67" s="2" t="inlineStr">
        <is>
          <t>MassMutual Ascend said its fee-based annuity lineup, distributed through more than 1,700 advisor reps at nearly 1,000 RIAs, has now generated over $2 billion in cumulative sales, with almost half of that volume coming in just the past two years.</t>
        </is>
      </c>
      <c r="G67" s="2" t="inlineStr">
        <is>
          <t>InvestmentNews</t>
        </is>
      </c>
      <c r="H67" s="2" t="inlineStr">
        <is>
          <t>https://www.investmentnews.com/retirement-planning/massmutual-ascend-tops-2-billion-in-ria-annuity-sales-as-advisors-warm-to-income-products/267813</t>
        </is>
      </c>
      <c r="I67" s="2" t="inlineStr">
        <is>
          <t>2026-08-11</t>
        </is>
      </c>
    </row>
    <row r="68">
      <c r="A68" s="2" t="inlineStr">
        <is>
          <t>2026-08-22</t>
        </is>
      </c>
      <c r="B68" s="2" t="inlineStr">
        <is>
          <t>Life &amp; Annuities</t>
        </is>
      </c>
      <c r="C68" s="2" t="inlineStr">
        <is>
          <t>Technology &amp; AI</t>
        </is>
      </c>
      <c r="D68" s="2" t="inlineStr">
        <is>
          <t>United States</t>
        </is>
      </c>
      <c r="E68" s="2" t="inlineStr">
        <is>
          <t>Nitrogen launches AI scoring tool to flag life, long-term-care and annuity coverage gaps</t>
        </is>
      </c>
      <c r="F68" s="2" t="inlineStr">
        <is>
          <t>Wealth-tech platform Nitrogen rolled out an 'Insurance Center' module built around a Coverage Number score that compares a client's existing life, long-term-care and annuity protection against calculated need, giving advisors a fast way to spot under- or over-insured clients.</t>
        </is>
      </c>
      <c r="G68" s="2" t="inlineStr">
        <is>
          <t>InvestmentNews</t>
        </is>
      </c>
      <c r="H68" s="2" t="inlineStr">
        <is>
          <t>https://www.investmentnews.com/retirement-planning/nitrogen-launches-ai-tool-to-calculate-insurance-coverage-needs/267778</t>
        </is>
      </c>
      <c r="I68" s="2" t="inlineStr">
        <is>
          <t>2026-08-11</t>
        </is>
      </c>
    </row>
    <row r="69">
      <c r="A69" s="2" t="inlineStr">
        <is>
          <t>2026-08-23</t>
        </is>
      </c>
      <c r="B69" s="2" t="inlineStr">
        <is>
          <t>Healthcare / Provider &amp; Clinical</t>
        </is>
      </c>
      <c r="C69" s="2" t="inlineStr">
        <is>
          <t>Technology &amp; AI</t>
        </is>
      </c>
      <c r="D69" s="2" t="inlineStr">
        <is>
          <t>United States</t>
        </is>
      </c>
      <c r="E69" s="2" t="inlineStr">
        <is>
          <t>UPMC-Backed Report Finds Health Systems Deploying AI Faster Than They Can Govern It</t>
        </is>
      </c>
      <c r="F69" s="2" t="inlineStr">
        <is>
          <t>A new industry report finds 93% of health systems have deployed third-party AI tools, but 63% of those are still building out governance infrastructure, with many describing their oversight policies as ad hoc rather than mature.</t>
        </is>
      </c>
      <c r="G69" s="2" t="inlineStr">
        <is>
          <t>WESA</t>
        </is>
      </c>
      <c r="H69" s="2" t="inlineStr">
        <is>
          <t>https://www.wesanews.org/health-science-tech/2026-08-11/healthcare-industry-ai-upmc-report</t>
        </is>
      </c>
      <c r="I69" s="2" t="inlineStr">
        <is>
          <t>2026-08-11</t>
        </is>
      </c>
    </row>
    <row r="70">
      <c r="A70" s="2" t="inlineStr">
        <is>
          <t>2026-08-23</t>
        </is>
      </c>
      <c r="B70" s="2" t="inlineStr">
        <is>
          <t>Healthcare / Provider &amp; Clinical</t>
        </is>
      </c>
      <c r="C70" s="2" t="inlineStr">
        <is>
          <t>Technology &amp; AI</t>
        </is>
      </c>
      <c r="D70" s="2" t="inlineStr">
        <is>
          <t>United States</t>
        </is>
      </c>
      <c r="E70" s="2" t="inlineStr">
        <is>
          <t>Leica Biosystems Wins FDA Clearance for First AI-Assisted Digital Pathology Quality-Control Software</t>
        </is>
      </c>
      <c r="F70" s="2" t="inlineStr">
        <is>
          <t>Leica Biosystems received multiple FDA 510(k) clearances for its connected digital pathology portfolio, including Aperio iQC DX, the first FDA-cleared AI software for detecting tissue-preparation and staining artifacts in a clinical pathology workflow.</t>
        </is>
      </c>
      <c r="G70" s="2" t="inlineStr">
        <is>
          <t>Imaging Technology News (ITN)</t>
        </is>
      </c>
      <c r="H70" s="2" t="inlineStr">
        <is>
          <t>https://www.itnonline.com/content/fda-grants-clearance-leica-biosystems-digital-pathology-products</t>
        </is>
      </c>
      <c r="I70" s="2" t="inlineStr">
        <is>
          <t>2026-08-11</t>
        </is>
      </c>
    </row>
    <row r="71">
      <c r="A71" s="2" t="inlineStr">
        <is>
          <t>2026-08-23</t>
        </is>
      </c>
      <c r="B71" s="2" t="inlineStr">
        <is>
          <t>Wealth Management</t>
        </is>
      </c>
      <c r="C71" s="2" t="inlineStr">
        <is>
          <t>Technology &amp; AI</t>
        </is>
      </c>
      <c r="D71" s="2" t="inlineStr">
        <is>
          <t>United States</t>
        </is>
      </c>
      <c r="E71" s="2" t="inlineStr">
        <is>
          <t>Orion Advances Denali AI Platform as Wealthtech Vendors Race on AI Tools</t>
        </is>
      </c>
      <c r="F71" s="2" t="inlineStr">
        <is>
          <t>Orion is preparing to roll out its Denali AI capabilities as part of a broader wave of AI product announcements from wealth management technology vendors including Envestnet, SS&amp;C and Boosted.ai.</t>
        </is>
      </c>
      <c r="G71" s="2" t="inlineStr">
        <is>
          <t>WealthManagement.com</t>
        </is>
      </c>
      <c r="H71" s="2" t="inlineStr">
        <is>
          <t>https://www.wealthmanagement.com/artificial-intelligence/wealthstack-roundup-orion-denali-ai-rollout-to-begin-in-2026</t>
        </is>
      </c>
      <c r="I71" s="2" t="inlineStr">
        <is>
          <t>2026-08-11</t>
        </is>
      </c>
    </row>
    <row r="72">
      <c r="A72" s="2" t="inlineStr">
        <is>
          <t>2026-08-24</t>
        </is>
      </c>
      <c r="B72" s="2" t="inlineStr">
        <is>
          <t>Brokers &amp; MGA/GA</t>
        </is>
      </c>
      <c r="C72" s="2" t="inlineStr">
        <is>
          <t>People &amp; Leadership</t>
        </is>
      </c>
      <c r="D72" s="2" t="inlineStr">
        <is>
          <t>United States</t>
        </is>
      </c>
      <c r="E72" s="2" t="inlineStr">
        <is>
          <t>Standards body ACORD names John Kellington as chief executive</t>
        </is>
      </c>
      <c r="F72" s="2" t="inlineStr">
        <is>
          <t>ACORD appointed John Kellington, most recently EVP and CIO at Cincinnati Insurance, as its new CEO, returning him to the insurance-data-standards organization where he previously helped build its architecture.</t>
        </is>
      </c>
      <c r="G72" s="2" t="inlineStr">
        <is>
          <t>PR Newswire</t>
        </is>
      </c>
      <c r="H72" s="2" t="inlineStr">
        <is>
          <t>https://www.prnewswire.com/news-releases/acord-names-john-kellington-chief-executive-officer-302847323.html</t>
        </is>
      </c>
      <c r="I72" s="2" t="inlineStr">
        <is>
          <t>2026-08-11</t>
        </is>
      </c>
    </row>
    <row r="73">
      <c r="A73" s="2" t="inlineStr">
        <is>
          <t>2026-08-26</t>
        </is>
      </c>
      <c r="B73" s="2" t="inlineStr">
        <is>
          <t>Investments</t>
        </is>
      </c>
      <c r="C73" s="2" t="inlineStr">
        <is>
          <t>Technology &amp; AI</t>
        </is>
      </c>
      <c r="D73" s="2" t="inlineStr">
        <is>
          <t>Global</t>
        </is>
      </c>
      <c r="E73" s="2" t="inlineStr">
        <is>
          <t>Northern Trust survey of 180+ insurers flags AI 'hallucination' worries even as adoption accelerates</t>
        </is>
      </c>
      <c r="F73" s="2" t="inlineStr">
        <is>
          <t>A new Northern Trust report examining how more than 180 insurance asset owners are navigating investment strategy and operational challenges found three-fifths of asset managers worry about AI 'hallucinations' even as adoption of AI tools accelerates across the industry.</t>
        </is>
      </c>
      <c r="G73" s="2" t="inlineStr">
        <is>
          <t>Northern Trust</t>
        </is>
      </c>
      <c r="H73" s="2" t="inlineStr">
        <is>
          <t>https://www.northerntrust.com/united-states/insights-research/asset-servicing/a-suite/insights-hub/evolution-of-insurance-asset-management</t>
        </is>
      </c>
      <c r="I73" s="2" t="inlineStr">
        <is>
          <t>2026-08-11</t>
        </is>
      </c>
    </row>
    <row r="74">
      <c r="A74" s="2" t="inlineStr">
        <is>
          <t>2026-08-27</t>
        </is>
      </c>
      <c r="B74" s="2" t="inlineStr">
        <is>
          <t>Property &amp; Casualty</t>
        </is>
      </c>
      <c r="C74" s="2" t="inlineStr">
        <is>
          <t>People &amp; Leadership</t>
        </is>
      </c>
      <c r="D74" s="2" t="inlineStr">
        <is>
          <t>United States</t>
        </is>
      </c>
      <c r="E74" s="2" t="inlineStr">
        <is>
          <t>Progressive names former 3M executive to succeed retiring chief marketing officer</t>
        </is>
      </c>
      <c r="F74" s="2" t="inlineStr">
        <is>
          <t>Progressive Insurance named a former 3M executive as its new chief marketing officer, succeeding the auto and property insurer's retiring CMO.</t>
        </is>
      </c>
      <c r="G74" s="2" t="inlineStr">
        <is>
          <t>AM Best</t>
        </is>
      </c>
      <c r="H74" s="2" t="inlineStr">
        <is>
          <t>https://news.ambest.com/articlecontent.aspx?refnum=314787&amp;altsrc=43</t>
        </is>
      </c>
      <c r="I74" s="2" t="inlineStr">
        <is>
          <t>2026-08-11</t>
        </is>
      </c>
    </row>
    <row r="75">
      <c r="A75" s="2" t="inlineStr">
        <is>
          <t>2026-08-29</t>
        </is>
      </c>
      <c r="B75" s="2" t="inlineStr">
        <is>
          <t>Life &amp; Annuities</t>
        </is>
      </c>
      <c r="C75" s="2" t="inlineStr">
        <is>
          <t>Market Economics</t>
        </is>
      </c>
      <c r="D75" s="2" t="inlineStr">
        <is>
          <t>United States</t>
        </is>
      </c>
      <c r="E75" s="2" t="inlineStr">
        <is>
          <t>MassMutual Ascend surpasses $2 billion in lifetime advisory annuity sales</t>
        </is>
      </c>
      <c r="F75" s="2" t="inlineStr">
        <is>
          <t>MassMutual Ascend said its advisory annuity sales have crossed $2 billion, built on relationships with more than 1,700 investment advisor representatives across nearly 1,000 RIAs, with roughly $900 million of that total coming in 2025 and 2026 alone.</t>
        </is>
      </c>
      <c r="G75" s="2" t="inlineStr">
        <is>
          <t>BusinessWire</t>
        </is>
      </c>
      <c r="H75" s="2" t="inlineStr">
        <is>
          <t>https://www.businesswire.com/news/home/20260811401752/en/MassMutual-Ascend-Surpasses-%242-Billion-in-Lifetime-Advisory-Annuity-Sales-Reflecting-Continued-Momentum-in-RIA-Channel</t>
        </is>
      </c>
      <c r="I75" s="2" t="inlineStr">
        <is>
          <t>2026-08-11</t>
        </is>
      </c>
    </row>
    <row r="76">
      <c r="A76" s="2" t="inlineStr">
        <is>
          <t>2026-08-29</t>
        </is>
      </c>
      <c r="B76" s="2" t="inlineStr">
        <is>
          <t>Wealth Management</t>
        </is>
      </c>
      <c r="C76" s="2" t="inlineStr">
        <is>
          <t>Technology &amp; AI</t>
        </is>
      </c>
      <c r="D76" s="2" t="inlineStr">
        <is>
          <t>United States</t>
        </is>
      </c>
      <c r="E76" s="2" t="inlineStr">
        <is>
          <t>Feathery launches AI proposal generator built for wealth management firms</t>
        </is>
      </c>
      <c r="F76" s="2" t="inlineStr">
        <is>
          <t>Wealthtech firm Feathery launched an AI-powered proposal generation tool, built around its assistant Robin, that pulls client data from Salesforce, eMoney, Holistiplan, Addepar and Morningstar to draft personalized, compliance-ready proposals for advisors.</t>
        </is>
      </c>
      <c r="G76" s="2" t="inlineStr">
        <is>
          <t>InvestmentNews</t>
        </is>
      </c>
      <c r="H76" s="2" t="inlineStr">
        <is>
          <t>https://www.investmentnews.com/transformation/feathery-launches-ai-proposal-generation-tool-for-wealth-management-firms/267764</t>
        </is>
      </c>
      <c r="I76" s="2" t="inlineStr">
        <is>
          <t>2026-08-11</t>
        </is>
      </c>
    </row>
    <row r="77">
      <c r="A77" s="2" t="inlineStr">
        <is>
          <t>2026-08-30</t>
        </is>
      </c>
      <c r="B77" s="2" t="inlineStr">
        <is>
          <t>Wealth Management</t>
        </is>
      </c>
      <c r="C77" s="2" t="inlineStr">
        <is>
          <t>Technology &amp; AI</t>
        </is>
      </c>
      <c r="D77" s="2" t="inlineStr">
        <is>
          <t>United States</t>
        </is>
      </c>
      <c r="E77" s="2" t="inlineStr">
        <is>
          <t>MissionSquare pushes beyond retirement plans into personal wealth management</t>
        </is>
      </c>
      <c r="F77" s="2" t="inlineStr">
        <is>
          <t>MissionSquare, long focused on public-sector retirement plans, launched a personal wealth management business and rebranded its broker-dealer subsidiary as MissionSquare Wealth Management, naming Shannon Hogendorn as president.</t>
        </is>
      </c>
      <c r="G77" s="2" t="inlineStr">
        <is>
          <t>FinTech Global</t>
        </is>
      </c>
      <c r="H77" s="2" t="inlineStr">
        <is>
          <t>https://fintech.global/2026/08/11/missionsquare-expands-into-personal-wealth-management/</t>
        </is>
      </c>
      <c r="I77" s="2" t="inlineStr">
        <is>
          <t>2026-08-11</t>
        </is>
      </c>
    </row>
    <row r="78">
      <c r="A78" s="2" t="inlineStr">
        <is>
          <t>2026-08-09</t>
        </is>
      </c>
      <c r="B78" s="2" t="inlineStr">
        <is>
          <t>Life &amp; Annuities</t>
        </is>
      </c>
      <c r="C78" s="2" t="inlineStr">
        <is>
          <t>Regulatory &amp; Policy</t>
        </is>
      </c>
      <c r="D78" s="2" t="inlineStr">
        <is>
          <t>United States</t>
        </is>
      </c>
      <c r="E78" s="2" t="inlineStr">
        <is>
          <t>NAIC's Life Insurance and Annuities Committee convenes at Summer National Meeting in Columbus</t>
        </is>
      </c>
      <c r="F78" s="2" t="inlineStr">
        <is>
          <t>State insurance regulators are set to meet August 12 in Columbus as part of the NAIC's 2026 Summer National Meeting to discuss policy priorities affecting life and annuity products.</t>
        </is>
      </c>
      <c r="G78" s="2" t="inlineStr">
        <is>
          <t>NAIC</t>
        </is>
      </c>
      <c r="H78" s="2" t="inlineStr">
        <is>
          <t>https://content.naic.org/committees/a/life-insurance-annuities-cmte</t>
        </is>
      </c>
      <c r="I78" s="2" t="inlineStr">
        <is>
          <t>2026-08-12</t>
        </is>
      </c>
    </row>
    <row r="79">
      <c r="A79" s="2" t="inlineStr">
        <is>
          <t>2026-08-13</t>
        </is>
      </c>
      <c r="B79" s="2" t="inlineStr">
        <is>
          <t>Insurtech</t>
        </is>
      </c>
      <c r="C79" s="2" t="inlineStr">
        <is>
          <t>Technology &amp; AI</t>
        </is>
      </c>
      <c r="D79" s="2" t="inlineStr">
        <is>
          <t>Global</t>
        </is>
      </c>
      <c r="E79" s="2" t="inlineStr">
        <is>
          <t>Insurity and ITS partner to close the insurance industry's technology execution gap</t>
        </is>
      </c>
      <c r="F79" s="2" t="inlineStr">
        <is>
          <t>Insurity and Insurance Technology Services announced a partnership aimed at reducing delivery risk on insurance technology rollouts, targeting the gap between purchasing new insurance software and actually getting it into production.</t>
        </is>
      </c>
      <c r="G79" s="2" t="inlineStr">
        <is>
          <t>FinTech Global</t>
        </is>
      </c>
      <c r="H79" s="2" t="inlineStr">
        <is>
          <t>https://fintech.global/2026/08/12/insurity-and-its-target-the-insurance-industrys-tech-execution-gap/</t>
        </is>
      </c>
      <c r="I79" s="2" t="inlineStr">
        <is>
          <t>2026-08-12</t>
        </is>
      </c>
    </row>
    <row r="80">
      <c r="A80" s="2" t="inlineStr">
        <is>
          <t>2026-08-14</t>
        </is>
      </c>
      <c r="B80" s="2" t="inlineStr">
        <is>
          <t>Health Insurance / Payer</t>
        </is>
      </c>
      <c r="C80" s="2" t="inlineStr">
        <is>
          <t>Regulatory &amp; Policy</t>
        </is>
      </c>
      <c r="D80" s="2" t="inlineStr">
        <is>
          <t>India</t>
        </is>
      </c>
      <c r="E80" s="2" t="inlineStr">
        <is>
          <t>India weighs national claims exchange and benchmarked treatment rates to curb medical inflation</t>
        </is>
      </c>
      <c r="F80" s="2" t="inlineStr">
        <is>
          <t>India is considering wide-ranging health insurance reforms, including standardized treatment-rate benchmarks and a nationwide claims exchange, as it seeks to improve transparency amid some of Asia's highest medical inflation.</t>
        </is>
      </c>
      <c r="G80" s="2" t="inlineStr">
        <is>
          <t>Reuters (via Yahoo News)</t>
        </is>
      </c>
      <c r="H80" s="2" t="inlineStr">
        <is>
          <t>https://sg.news.yahoo.com/india-plans-insurance-reforms-rein-083021180.html</t>
        </is>
      </c>
      <c r="I80" s="2" t="inlineStr">
        <is>
          <t>2026-08-12</t>
        </is>
      </c>
    </row>
    <row r="81">
      <c r="A81" s="2" t="inlineStr">
        <is>
          <t>2026-08-15</t>
        </is>
      </c>
      <c r="B81" s="2" t="inlineStr">
        <is>
          <t>Retirement</t>
        </is>
      </c>
      <c r="C81" s="2" t="inlineStr">
        <is>
          <t>Investments &amp; Funding</t>
        </is>
      </c>
      <c r="D81" s="2" t="inlineStr">
        <is>
          <t>United States</t>
        </is>
      </c>
      <c r="E81" s="2" t="inlineStr">
        <is>
          <t>Private equity firms step up their courtship of 401(k) plan sponsors</t>
        </is>
      </c>
      <c r="F81" s="2" t="inlineStr">
        <is>
          <t>With roughly $30 trillion sitting in US retirement accounts, private-equity firms are increasingly pitching plan sponsors and recordkeepers on giving savers access to alternative-asset strategies inside 401(k) menus.</t>
        </is>
      </c>
      <c r="G81" s="2" t="inlineStr">
        <is>
          <t>NBC News</t>
        </is>
      </c>
      <c r="H81" s="2" t="inlineStr">
        <is>
          <t>https://www.nbcnews.com/business/personal-finance/private-equity-needs-new-investors-s-targeting-401k-rcna588334</t>
        </is>
      </c>
      <c r="I81" s="2" t="inlineStr">
        <is>
          <t>2026-08-12</t>
        </is>
      </c>
    </row>
    <row r="82">
      <c r="A82" s="2" t="inlineStr">
        <is>
          <t>2026-08-15</t>
        </is>
      </c>
      <c r="B82" s="2" t="inlineStr">
        <is>
          <t>Wealth Management</t>
        </is>
      </c>
      <c r="C82" s="2" t="inlineStr">
        <is>
          <t>Technology &amp; AI</t>
        </is>
      </c>
      <c r="D82" s="2" t="inlineStr">
        <is>
          <t>India</t>
        </is>
      </c>
      <c r="E82" s="2" t="inlineStr">
        <is>
          <t>Mumbai forum spotlights AI and next-generation wealth transfer for Indian HNW clients</t>
        </is>
      </c>
      <c r="F82" s="2" t="inlineStr">
        <is>
          <t>The India Wealth Management Forum 2026 in Mumbai brought together advisors and family offices for sessions on generational wealth transfer, structuring, taking wealth global, and applying AI across advisory workflows.</t>
        </is>
      </c>
      <c r="G82" s="2" t="inlineStr">
        <is>
          <t>Hubbis</t>
        </is>
      </c>
      <c r="H82" s="2" t="inlineStr">
        <is>
          <t>https://www.hubbis.com/event/india-wealth-management-forum-2026-2026-8-12/</t>
        </is>
      </c>
      <c r="I82" s="2" t="inlineStr">
        <is>
          <t>2026-08-12</t>
        </is>
      </c>
    </row>
    <row r="83">
      <c r="A83" s="2" t="inlineStr">
        <is>
          <t>2026-08-16</t>
        </is>
      </c>
      <c r="B83" s="2" t="inlineStr">
        <is>
          <t>FinTech</t>
        </is>
      </c>
      <c r="C83" s="2" t="inlineStr">
        <is>
          <t>Investments &amp; Funding</t>
        </is>
      </c>
      <c r="D83" s="2" t="inlineStr">
        <is>
          <t>Global</t>
        </is>
      </c>
      <c r="E83" s="2" t="inlineStr">
        <is>
          <t>Fisent Technologies raises $4.3 million as it lands its first Fortune 50 customer</t>
        </is>
      </c>
      <c r="F83" s="2" t="inlineStr">
        <is>
          <t>Insurance fintech Fisent Technologies secured $4.3 million in new funding, citing growth across its enterprise business including its first Fortune 50 customer win in 2026.</t>
        </is>
      </c>
      <c r="G83" s="2" t="inlineStr">
        <is>
          <t>Insurance Edge</t>
        </is>
      </c>
      <c r="H83" s="2" t="inlineStr">
        <is>
          <t>https://insurance-edge.net/2026/08/12/fisent-technologies-secures-4-3m-in-funding-round/</t>
        </is>
      </c>
      <c r="I83" s="2" t="inlineStr">
        <is>
          <t>2026-08-12</t>
        </is>
      </c>
    </row>
    <row r="84">
      <c r="A84" s="2" t="inlineStr">
        <is>
          <t>2026-08-17</t>
        </is>
      </c>
      <c r="B84" s="2" t="inlineStr">
        <is>
          <t>Health Insurance / Payer</t>
        </is>
      </c>
      <c r="C84" s="2" t="inlineStr">
        <is>
          <t>Regulatory &amp; Policy</t>
        </is>
      </c>
      <c r="D84" s="2" t="inlineStr">
        <is>
          <t>United States</t>
        </is>
      </c>
      <c r="E84" s="2" t="inlineStr">
        <is>
          <t>CMS Medicare Advantage star-rating recalculation to drive over $13 billion in 2027 quality bonus spending</t>
        </is>
      </c>
      <c r="F84" s="2" t="inlineStr">
        <is>
          <t>A KFF analysis updated August 12, 2026 found CMS's recalculation of Medicare Advantage star ratings will push 2027 quality bonus program spending above $13 billion, with the bonus program continuing to boost payments to highly rated plans.</t>
        </is>
      </c>
      <c r="G84" s="2" t="inlineStr">
        <is>
          <t>KFF</t>
        </is>
      </c>
      <c r="H84" s="2" t="inlineStr">
        <is>
          <t>https://www.kff.org/medicare/medicare-will-spend-more-than-13-billion-on-the-medicare-advantage-quality-bonus-program-in-2026/</t>
        </is>
      </c>
      <c r="I84" s="2" t="inlineStr">
        <is>
          <t>2026-08-12</t>
        </is>
      </c>
    </row>
    <row r="85">
      <c r="A85" s="2" t="inlineStr">
        <is>
          <t>2026-08-18</t>
        </is>
      </c>
      <c r="B85" s="2" t="inlineStr">
        <is>
          <t>Healthcare / Provider &amp; Clinical</t>
        </is>
      </c>
      <c r="C85" s="2" t="inlineStr">
        <is>
          <t>Regulatory &amp; Policy</t>
        </is>
      </c>
      <c r="D85" s="2" t="inlineStr">
        <is>
          <t>India</t>
        </is>
      </c>
      <c r="E85" s="2" t="inlineStr">
        <is>
          <t>India hospital stocks slide after lawmakers float room-rate price caps</t>
        </is>
      </c>
      <c r="F85" s="2" t="inlineStr">
        <is>
          <t>Shares of Apollo Hospitals, Max Healthcare and Fortis Healthcare fell as much as 7% after a Parliamentary Standing Committee recommended that private hospital room charges be benchmarked to prevailing three-star hotel tariffs.</t>
        </is>
      </c>
      <c r="G85" s="2" t="inlineStr">
        <is>
          <t>Business Standard</t>
        </is>
      </c>
      <c r="H85" s="2" t="inlineStr">
        <is>
          <t>https://www.business-standard.com/amp/markets/news/hospital-stocks-trade-weak-max-healthcare-fortis-apollo-fall-up-to-7-126081200973_1.html</t>
        </is>
      </c>
      <c r="I85" s="2" t="inlineStr">
        <is>
          <t>2026-08-12</t>
        </is>
      </c>
    </row>
    <row r="86">
      <c r="A86" s="2" t="inlineStr">
        <is>
          <t>2026-08-18</t>
        </is>
      </c>
      <c r="B86" s="2" t="inlineStr">
        <is>
          <t>Wealth Management</t>
        </is>
      </c>
      <c r="C86" s="2" t="inlineStr">
        <is>
          <t>Technology &amp; AI</t>
        </is>
      </c>
      <c r="D86" s="2" t="inlineStr">
        <is>
          <t>United States</t>
        </is>
      </c>
      <c r="E86" s="2" t="inlineStr">
        <is>
          <t>Vanguard Taps Vestmark to Power New Customizable Model Portfolios for RIAs</t>
        </is>
      </c>
      <c r="F86" s="2" t="inlineStr">
        <is>
          <t>Vanguard launched Vanguard Custom Model Portfolios that let advisors tailor multi-asset models to client tax and values preferences, with Vestmark selected as one of three technology partners supplying trading and tax-management infrastructure.</t>
        </is>
      </c>
      <c r="G86" s="2" t="inlineStr">
        <is>
          <t>Fintech Global</t>
        </is>
      </c>
      <c r="H86" s="2" t="inlineStr">
        <is>
          <t>https://fintech.global/2026/08/12/vestmark-to-power-vanguards-custom-model-portfolios/</t>
        </is>
      </c>
      <c r="I86" s="2" t="inlineStr">
        <is>
          <t>2026-08-12</t>
        </is>
      </c>
    </row>
    <row r="87">
      <c r="A87" s="2" t="inlineStr">
        <is>
          <t>2026-08-19</t>
        </is>
      </c>
      <c r="B87" s="2" t="inlineStr">
        <is>
          <t>Wealth Management</t>
        </is>
      </c>
      <c r="C87" s="2" t="inlineStr">
        <is>
          <t>M&amp;A</t>
        </is>
      </c>
      <c r="D87" s="2" t="inlineStr">
        <is>
          <t>United States</t>
        </is>
      </c>
      <c r="E87" s="2" t="inlineStr">
        <is>
          <t>Corient acquires UHNW-focused $21 billion Summit Trail Advisors in its largest US deal yet</t>
        </is>
      </c>
      <c r="F87" s="2" t="inlineStr">
        <is>
          <t>Miami-based Corient agreed to acquire New York's Summit Trail Advisors, a $21 billion RIA serving ultra-high-net-worth families as an outsourced family office, marking Corient's largest US acquisition in an 18-month consolidation run.</t>
        </is>
      </c>
      <c r="G87" s="2" t="inlineStr">
        <is>
          <t>WealthManagement.com</t>
        </is>
      </c>
      <c r="H87" s="2" t="inlineStr">
        <is>
          <t>https://www.wealthmanagement.com/ria-news/corient-acquires-uhnw-focused-21b-summit-trail-advisors</t>
        </is>
      </c>
      <c r="I87" s="2" t="inlineStr">
        <is>
          <t>2026-08-12</t>
        </is>
      </c>
    </row>
    <row r="88">
      <c r="A88" s="2" t="inlineStr">
        <is>
          <t>2026-08-20</t>
        </is>
      </c>
      <c r="B88" s="2" t="inlineStr">
        <is>
          <t>FinTech</t>
        </is>
      </c>
      <c r="C88" s="2" t="inlineStr">
        <is>
          <t>Investments &amp; Funding</t>
        </is>
      </c>
      <c r="D88" s="2" t="inlineStr">
        <is>
          <t>United States</t>
        </is>
      </c>
      <c r="E88" s="2" t="inlineStr">
        <is>
          <t>Axle raises $17.5 million to scale AI-native insurance clearinghouse</t>
        </is>
      </c>
      <c r="F88" s="2" t="inlineStr">
        <is>
          <t>Axle, which builds a programmable clearinghouse connecting insurance carriers to underlying transactions, raised a $17.5 million Series A led by Base10 Partners to expand from five to more than 50 insurance segments.</t>
        </is>
      </c>
      <c r="G88" s="2" t="inlineStr">
        <is>
          <t>PR Newswire</t>
        </is>
      </c>
      <c r="H88" s="2" t="inlineStr">
        <is>
          <t>https://www.prnewswire.com/news-releases/axle-raises-17-5m-series-a-to-connect-insurance-carriers-to-the-real-economy-302847934.html</t>
        </is>
      </c>
      <c r="I88" s="2" t="inlineStr">
        <is>
          <t>2026-08-12</t>
        </is>
      </c>
    </row>
    <row r="89">
      <c r="A89" s="2" t="inlineStr">
        <is>
          <t>2026-08-20</t>
        </is>
      </c>
      <c r="B89" s="2" t="inlineStr">
        <is>
          <t>Investments</t>
        </is>
      </c>
      <c r="C89" s="2" t="inlineStr">
        <is>
          <t>Market Economics</t>
        </is>
      </c>
      <c r="D89" s="2" t="inlineStr">
        <is>
          <t>United States</t>
        </is>
      </c>
      <c r="E89" s="2" t="inlineStr">
        <is>
          <t>Enact's net investment income rises 11% in Q2 as new-money yields top 5%</t>
        </is>
      </c>
      <c r="F89" s="2" t="inlineStr">
        <is>
          <t>Mortgage insurer Enact Holdings reported second-quarter 2026 net investment income of $73 million, an 11% increase from a year earlier, as higher portfolio book yields and new-money investment rates above 5% lifted returns.</t>
        </is>
      </c>
      <c r="G89" s="2" t="inlineStr">
        <is>
          <t>The Motley Fool</t>
        </is>
      </c>
      <c r="H89" s="2" t="inlineStr">
        <is>
          <t>https://www.fool.com/earnings/call-transcripts/2026/08/12/enact-act-q2-2026-earnings-call-transcript/</t>
        </is>
      </c>
      <c r="I89" s="2" t="inlineStr">
        <is>
          <t>2026-08-12</t>
        </is>
      </c>
    </row>
    <row r="90">
      <c r="A90" s="2" t="inlineStr">
        <is>
          <t>2026-08-21</t>
        </is>
      </c>
      <c r="B90" s="2" t="inlineStr">
        <is>
          <t>Retirement</t>
        </is>
      </c>
      <c r="C90" s="2" t="inlineStr">
        <is>
          <t>Technology &amp; AI</t>
        </is>
      </c>
      <c r="D90" s="2" t="inlineStr">
        <is>
          <t>United States</t>
        </is>
      </c>
      <c r="E90" s="2" t="inlineStr">
        <is>
          <t>Outdated recordkeeping technology could be costing the U.S. retirement industry billions, study finds</t>
        </is>
      </c>
      <c r="F90" s="2" t="inlineStr">
        <is>
          <t>A new study finds legacy recordkeeping infrastructure is straining under demand for better participant tools, with consulting estimates suggesting AI-driven modernization could save the retirement and pension industry $16 billion to $20 billion in operating costs.</t>
        </is>
      </c>
      <c r="G90" s="2" t="inlineStr">
        <is>
          <t>401kTV</t>
        </is>
      </c>
      <c r="H90" s="2" t="inlineStr">
        <is>
          <t>https://401ktv.com/recordkeeping-tech-needs-an-overhaul-study/</t>
        </is>
      </c>
      <c r="I90" s="2" t="inlineStr">
        <is>
          <t>2026-08-12</t>
        </is>
      </c>
    </row>
    <row r="91">
      <c r="A91" s="2" t="inlineStr">
        <is>
          <t>2026-08-22</t>
        </is>
      </c>
      <c r="B91" s="2" t="inlineStr">
        <is>
          <t>Brokers &amp; MGA/GA</t>
        </is>
      </c>
      <c r="C91" s="2" t="inlineStr">
        <is>
          <t>M&amp;A</t>
        </is>
      </c>
      <c r="D91" s="2" t="inlineStr">
        <is>
          <t>United States</t>
        </is>
      </c>
      <c r="E91" s="2" t="inlineStr">
        <is>
          <t>Amynta adds century-old agribusiness MGU Southern States Underwriters</t>
        </is>
      </c>
      <c r="F91" s="2" t="inlineStr">
        <is>
          <t>Amynta Group agreed to buy Southern States Underwriters, a Virginia-based agriculture-focused MGU founded in 1953, in a deal expected to close in the fourth quarter of 2026 with existing leadership staying on.</t>
        </is>
      </c>
      <c r="G91" s="2" t="inlineStr">
        <is>
          <t>The Insurer</t>
        </is>
      </c>
      <c r="H91" s="2" t="inlineStr">
        <is>
          <t>https://www.theinsurer.com/program-manager/news/amynta-group-agrees-to-buy-agriculture-focused-pc-mgu-southern-states-2026-08-12/</t>
        </is>
      </c>
      <c r="I91" s="2" t="inlineStr">
        <is>
          <t>2026-08-12</t>
        </is>
      </c>
    </row>
    <row r="92">
      <c r="A92" s="2" t="inlineStr">
        <is>
          <t>2026-08-22</t>
        </is>
      </c>
      <c r="B92" s="2" t="inlineStr">
        <is>
          <t>FinTech</t>
        </is>
      </c>
      <c r="C92" s="2" t="inlineStr">
        <is>
          <t>Investments &amp; Funding</t>
        </is>
      </c>
      <c r="D92" s="2" t="inlineStr">
        <is>
          <t>United States</t>
        </is>
      </c>
      <c r="E92" s="2" t="inlineStr">
        <is>
          <t>AI-native insurance verification clearinghouse Axle quadruples prior funding total</t>
        </is>
      </c>
      <c r="F92" s="2" t="inlineStr">
        <is>
          <t>Axle, which runs an AI-native clearinghouse for insurance verification, raised $17.5 million in new funding, roughly four times its total prior fundraising, as part of a busy mid-August week of insurance and insurtech dealmaking.</t>
        </is>
      </c>
      <c r="G92" s="2" t="inlineStr">
        <is>
          <t>InsurTech.me</t>
        </is>
      </c>
      <c r="H92" s="2" t="inlineStr">
        <is>
          <t>https://insurtech.me/reports/2026-08-15/</t>
        </is>
      </c>
      <c r="I92" s="2" t="inlineStr">
        <is>
          <t>2026-08-12</t>
        </is>
      </c>
    </row>
    <row r="93">
      <c r="A93" s="2" t="inlineStr">
        <is>
          <t>2026-08-22</t>
        </is>
      </c>
      <c r="B93" s="2" t="inlineStr">
        <is>
          <t>Health Insurance / Payer</t>
        </is>
      </c>
      <c r="C93" s="2" t="inlineStr">
        <is>
          <t>Market Economics</t>
        </is>
      </c>
      <c r="D93" s="2" t="inlineStr">
        <is>
          <t>APAC</t>
        </is>
      </c>
      <c r="E93" s="2" t="inlineStr">
        <is>
          <t>Singapore insurers confront surging medical inflation at industry summit</t>
        </is>
      </c>
      <c r="F93" s="2" t="inlineStr">
        <is>
          <t>AIA Singapore's inaugural Healthcare Summit in August 2026 gathered policymakers and health leaders to address affordability pressures, as medical inflation projections and concerns among Singapore residents about rising healthcare costs mount.</t>
        </is>
      </c>
      <c r="G93" s="2" t="inlineStr">
        <is>
          <t>AOL / AIA Singapore</t>
        </is>
      </c>
      <c r="H93" s="2" t="inlineStr">
        <is>
          <t>https://www.aol.com/articles/inaugural-aia-healthcare-summit-2026-161500000.html</t>
        </is>
      </c>
      <c r="I93" s="2" t="inlineStr">
        <is>
          <t>2026-08-12</t>
        </is>
      </c>
    </row>
    <row r="94">
      <c r="A94" s="2" t="inlineStr">
        <is>
          <t>2026-08-22</t>
        </is>
      </c>
      <c r="B94" s="2" t="inlineStr">
        <is>
          <t>TPA</t>
        </is>
      </c>
      <c r="C94" s="2" t="inlineStr">
        <is>
          <t>Regulatory &amp; Policy</t>
        </is>
      </c>
      <c r="D94" s="2" t="inlineStr">
        <is>
          <t>United States</t>
        </is>
      </c>
      <c r="E94" s="2" t="inlineStr">
        <is>
          <t>US regulators edge closer to a formal oversight regime for third-party AI vendors</t>
        </is>
      </c>
      <c r="F94" s="2" t="inlineStr">
        <is>
          <t>At the NAIC's Summer National Meeting, the Third-Party Data and Models Working Group narrowed a proposed oversight framework to focus first on pricing and underwriting vendors, weighing whether registration should be voluntary and whether the outcome should be a model law or a bulletin.</t>
        </is>
      </c>
      <c r="G94" s="2" t="inlineStr">
        <is>
          <t>Carlton Fields (Expect Focus)</t>
        </is>
      </c>
      <c r="H94" s="2" t="inlineStr">
        <is>
          <t>https://www.carltonfields.com/insights/expect-focus/next-round-of-testing-naic-clarifies-third-party-oversight-plan</t>
        </is>
      </c>
      <c r="I94" s="2" t="inlineStr">
        <is>
          <t>2026-08-12</t>
        </is>
      </c>
    </row>
    <row r="95">
      <c r="A95" s="2" t="inlineStr">
        <is>
          <t>2026-08-23</t>
        </is>
      </c>
      <c r="B95" s="2" t="inlineStr">
        <is>
          <t>Retirement</t>
        </is>
      </c>
      <c r="C95" s="2" t="inlineStr">
        <is>
          <t>Regulatory &amp; Policy</t>
        </is>
      </c>
      <c r="D95" s="2" t="inlineStr">
        <is>
          <t>United States</t>
        </is>
      </c>
      <c r="E95" s="2" t="inlineStr">
        <is>
          <t>Treasury and IRS issue standardized rollover paperwork under SECURE 2.0</t>
        </is>
      </c>
      <c r="F95" s="2" t="inlineStr">
        <is>
          <t>Treasury and the IRS released new sample forms and safe-harbor explanations to simplify direct rollovers between retirement plans, implementing a requirement from Section 324 of SECURE 2.0.</t>
        </is>
      </c>
      <c r="G95" s="2" t="inlineStr">
        <is>
          <t>IRS Newsroom</t>
        </is>
      </c>
      <c r="H95" s="2" t="inlineStr">
        <is>
          <t>https://www.irs.gov/newsroom/treasury-irs-provide-new-safe-harbor-explanations-for-retirement-plan-administrators</t>
        </is>
      </c>
      <c r="I95" s="2" t="inlineStr">
        <is>
          <t>2026-08-12</t>
        </is>
      </c>
    </row>
    <row r="96">
      <c r="A96" s="2" t="inlineStr">
        <is>
          <t>2026-08-27</t>
        </is>
      </c>
      <c r="B96" s="2" t="inlineStr">
        <is>
          <t>Property &amp; Casualty</t>
        </is>
      </c>
      <c r="C96" s="2" t="inlineStr">
        <is>
          <t>Market Economics</t>
        </is>
      </c>
      <c r="D96" s="2" t="inlineStr">
        <is>
          <t>United States</t>
        </is>
      </c>
      <c r="E96" s="2" t="inlineStr">
        <is>
          <t>US commercial P&amp;C rate declines accelerate in the second quarter</t>
        </is>
      </c>
      <c r="F96" s="2" t="inlineStr">
        <is>
          <t>The Council's benchmark survey shows commercial property-casualty premiums fell an average 2.0% in the first half of 2026, with large accounts seeing the steepest rate relief as capacity keeps expanding.</t>
        </is>
      </c>
      <c r="G96" s="2" t="inlineStr">
        <is>
          <t>Reinsurance News</t>
        </is>
      </c>
      <c r="H96" s="2" t="inlineStr">
        <is>
          <t>https://www.reinsurancene.ws/pc-market-softens-further-as-premium-decreases-accelerate-in-q226-the-council/</t>
        </is>
      </c>
      <c r="I96" s="2" t="inlineStr">
        <is>
          <t>2026-08-12</t>
        </is>
      </c>
    </row>
    <row r="97">
      <c r="A97" s="2" t="inlineStr">
        <is>
          <t>2026-09-05</t>
        </is>
      </c>
      <c r="B97" s="2" t="inlineStr">
        <is>
          <t>Life &amp; Annuities</t>
        </is>
      </c>
      <c r="C97" s="2" t="inlineStr">
        <is>
          <t>Market Economics</t>
        </is>
      </c>
      <c r="D97" s="2" t="inlineStr">
        <is>
          <t>United States</t>
        </is>
      </c>
      <c r="E97" s="2" t="inlineStr">
        <is>
          <t>US annuity sales set a new quarterly record of $123.9 billion in Q2 2026</t>
        </is>
      </c>
      <c r="F97" s="2" t="inlineStr">
        <is>
          <t>LIMRA reports total US annuity sales rose 4% year-over-year to a record $123.9 billion in the second quarter of 2026, the eleventh straight quarter above $100 billion, with registered index-linked annuities also setting a quarterly record at $23.3 billion.</t>
        </is>
      </c>
      <c r="G97" s="2" t="inlineStr">
        <is>
          <t>LIMRA</t>
        </is>
      </c>
      <c r="H97" s="2" t="inlineStr">
        <is>
          <t>https://www.limra.com/en/newsroom/news-releases/2026/limra-u.s.-annuity-sales-set-new-quarterly-record-totaling-$123.9-billion-in-the-second-quarter-of-2026/</t>
        </is>
      </c>
      <c r="I97" s="2" t="inlineStr">
        <is>
          <t>2026-08-12</t>
        </is>
      </c>
    </row>
    <row r="98">
      <c r="A98" s="2" t="inlineStr">
        <is>
          <t>2026-08-14</t>
        </is>
      </c>
      <c r="B98" s="2" t="inlineStr">
        <is>
          <t>Property &amp; Casualty</t>
        </is>
      </c>
      <c r="C98" s="2" t="inlineStr">
        <is>
          <t>Market Economics</t>
        </is>
      </c>
      <c r="D98" s="2" t="inlineStr">
        <is>
          <t>United States</t>
        </is>
      </c>
      <c r="E98" s="2" t="inlineStr">
        <is>
          <t>Auto insurance rates resume climbing across more than half of US states</t>
        </is>
      </c>
      <c r="F98" s="2" t="inlineStr">
        <is>
          <t>After easing in 2025, car insurance premiums are rising again in over half the country, with Connecticut drivers facing the steepest year-over-year increase at 15%, driven by higher repair costs and inflation, per Insurify data.</t>
        </is>
      </c>
      <c r="G98" s="2" t="inlineStr">
        <is>
          <t>Carrier Management</t>
        </is>
      </c>
      <c r="H98" s="2" t="inlineStr">
        <is>
          <t>https://www.carriermanagement.com/news/2026/08/13/291037.htm</t>
        </is>
      </c>
      <c r="I98" s="2" t="inlineStr">
        <is>
          <t>2026-08-13</t>
        </is>
      </c>
    </row>
    <row r="99">
      <c r="A99" s="2" t="inlineStr">
        <is>
          <t>2026-08-15</t>
        </is>
      </c>
      <c r="B99" s="2" t="inlineStr">
        <is>
          <t>BrokerTech</t>
        </is>
      </c>
      <c r="C99" s="2" t="inlineStr">
        <is>
          <t>Technology &amp; AI</t>
        </is>
      </c>
      <c r="D99" s="2" t="inlineStr">
        <is>
          <t>United States</t>
        </is>
      </c>
      <c r="E99" s="2" t="inlineStr">
        <is>
          <t>bolt launches AI-powered insurance distribution platform</t>
        </is>
      </c>
      <c r="F99" s="2" t="inlineStr">
        <is>
          <t>Distribution technology provider bolt launched a new AI-driven platform combining three core distribution capabilities into a single insurance-focused system for carriers and agencies.</t>
        </is>
      </c>
      <c r="G99" s="2" t="inlineStr">
        <is>
          <t>FinTech Global</t>
        </is>
      </c>
      <c r="H99" s="2" t="inlineStr">
        <is>
          <t>https://fintech.global/2026/08/13/bolt-launches-ai-powered-insurance-distribution-platform/</t>
        </is>
      </c>
      <c r="I99" s="2" t="inlineStr">
        <is>
          <t>2026-08-13</t>
        </is>
      </c>
    </row>
    <row r="100">
      <c r="A100" s="2" t="inlineStr">
        <is>
          <t>2026-08-15</t>
        </is>
      </c>
      <c r="B100" s="2" t="inlineStr">
        <is>
          <t>Health Insurance / Payer</t>
        </is>
      </c>
      <c r="C100" s="2" t="inlineStr">
        <is>
          <t>Market Economics</t>
        </is>
      </c>
      <c r="D100" s="2" t="inlineStr">
        <is>
          <t>United States</t>
        </is>
      </c>
      <c r="E100" s="2" t="inlineStr">
        <is>
          <t>CVS Caremark survey finds employers leaning harder on PBMs to fight drug costs</t>
        </is>
      </c>
      <c r="F100" s="2" t="inlineStr">
        <is>
          <t>A CVS Caremark and Employee Benefit News survey found 88% of employers see PBMs as well-positioned to curb prescription drug costs, with GLP-1 access and biosimilar adoption among employers' top concerns.</t>
        </is>
      </c>
      <c r="G100" s="2" t="inlineStr">
        <is>
          <t>CVS Health</t>
        </is>
      </c>
      <c r="H100" s="2" t="inlineStr">
        <is>
          <t>https://www.cvshealth.com/news/pbm/new-study-from-cvs-caremark-and-employee-benefit-news.html</t>
        </is>
      </c>
      <c r="I100" s="2" t="inlineStr">
        <is>
          <t>2026-08-13</t>
        </is>
      </c>
    </row>
    <row r="101">
      <c r="A101" s="2" t="inlineStr">
        <is>
          <t>2026-08-15</t>
        </is>
      </c>
      <c r="B101" s="2" t="inlineStr">
        <is>
          <t>Investments</t>
        </is>
      </c>
      <c r="C101" s="2" t="inlineStr">
        <is>
          <t>Market Economics</t>
        </is>
      </c>
      <c r="D101" s="2" t="inlineStr">
        <is>
          <t>Global</t>
        </is>
      </c>
      <c r="E101" s="2" t="inlineStr">
        <is>
          <t>Specialty reinsurer Pelagos misses Q2 estimates on Middle East and Qatar catastrophe losses</t>
        </is>
      </c>
      <c r="F101" s="2" t="inlineStr">
        <is>
          <t>Pelagos reported second-quarter operating earnings well below analyst consensus after $162 million in catastrophe and large losses, including charges tied to the Middle East conflict and a Qatar gas-plant explosion, weighed on underwriting results.</t>
        </is>
      </c>
      <c r="G101" s="2" t="inlineStr">
        <is>
          <t>The Insurer</t>
        </is>
      </c>
      <c r="H101" s="2" t="inlineStr">
        <is>
          <t>https://www.theinsurer.com/ti/news/pelagos-shares-fall-after-earnings-miss-as-ceo-defends-war-book-profitability-2026-08-13/</t>
        </is>
      </c>
      <c r="I101" s="2" t="inlineStr">
        <is>
          <t>2026-08-13</t>
        </is>
      </c>
    </row>
    <row r="102">
      <c r="A102" s="2" t="inlineStr">
        <is>
          <t>2026-08-15</t>
        </is>
      </c>
      <c r="B102" s="2" t="inlineStr">
        <is>
          <t>Wealth Management</t>
        </is>
      </c>
      <c r="C102" s="2" t="inlineStr">
        <is>
          <t>Technology &amp; AI</t>
        </is>
      </c>
      <c r="D102" s="2" t="inlineStr">
        <is>
          <t>UK/Europe</t>
        </is>
      </c>
      <c r="E102" s="2" t="inlineStr">
        <is>
          <t>FE fundinfo accelerates rollout of its Nexus adviser platform</t>
        </is>
      </c>
      <c r="F102" s="2" t="inlineStr">
        <is>
          <t>FE fundinfo is stepping up investment in Nexus for Financial Advisers, its AI-powered workflow platform, with plans to add more than 25 new capabilities before the end of 2026.</t>
        </is>
      </c>
      <c r="G102" s="2" t="inlineStr">
        <is>
          <t>FinTech Global</t>
        </is>
      </c>
      <c r="H102" s="2" t="inlineStr">
        <is>
          <t>https://fintech.global/2026/08/13/fe-fundinfo-speeds-up-nexus-adviser-platform-rollout/</t>
        </is>
      </c>
      <c r="I102" s="2" t="inlineStr">
        <is>
          <t>2026-08-13</t>
        </is>
      </c>
    </row>
    <row r="103">
      <c r="A103" s="2" t="inlineStr">
        <is>
          <t>2026-08-17</t>
        </is>
      </c>
      <c r="B103" s="2" t="inlineStr">
        <is>
          <t>Investments</t>
        </is>
      </c>
      <c r="C103" s="2" t="inlineStr">
        <is>
          <t>Market Economics</t>
        </is>
      </c>
      <c r="D103" s="2" t="inlineStr">
        <is>
          <t>APAC</t>
        </is>
      </c>
      <c r="E103" s="2" t="inlineStr">
        <is>
          <t>Shinhan Asset Management's target-date funds near $15 billion as Korean investors favor long-horizon strategies</t>
        </is>
      </c>
      <c r="F103" s="2" t="inlineStr">
        <is>
          <t>Shinhan Asset Management's two qualified target-date fund series held a combined 2.02 trillion won (about $14.6 billion) as of mid-August, with the firm's investment head urging long-term TDF investing over market timing.</t>
        </is>
      </c>
      <c r="G103" s="2" t="inlineStr">
        <is>
          <t>Seoul Economic Daily</t>
        </is>
      </c>
      <c r="H103" s="2" t="inlineStr">
        <is>
          <t>https://en.sedaily.com/finance/2026/08/13/long-term-tdf-investing-beats-timing-market-shinhan</t>
        </is>
      </c>
      <c r="I103" s="2" t="inlineStr">
        <is>
          <t>2026-08-13</t>
        </is>
      </c>
    </row>
    <row r="104">
      <c r="A104" s="2" t="inlineStr">
        <is>
          <t>2026-08-18</t>
        </is>
      </c>
      <c r="B104" s="2" t="inlineStr">
        <is>
          <t>Investments</t>
        </is>
      </c>
      <c r="C104" s="2" t="inlineStr">
        <is>
          <t>Market Economics</t>
        </is>
      </c>
      <c r="D104" s="2" t="inlineStr">
        <is>
          <t>United States</t>
        </is>
      </c>
      <c r="E104" s="2" t="inlineStr">
        <is>
          <t>Insurers keep squeezing higher yields from reinvested portfolios in Q2 earnings</t>
        </is>
      </c>
      <c r="F104" s="2" t="inlineStr">
        <is>
          <t>AIG reported its annualized investment yield rose 30 basis points to 4.72% with new-money yields running about 60 basis points above sales and maturities, while Selective Insurance's after-tax net investment income jumped 18% year-over-year to $119 million.</t>
        </is>
      </c>
      <c r="G104" s="2" t="inlineStr">
        <is>
          <t>The Motley Fool</t>
        </is>
      </c>
      <c r="H104" s="2" t="inlineStr">
        <is>
          <t>https://www.fool.com/earnings/call-transcripts/2026/08/13/aig-aig-q2-2026-earnings-call-transcript/</t>
        </is>
      </c>
      <c r="I104" s="2" t="inlineStr">
        <is>
          <t>2026-08-13</t>
        </is>
      </c>
    </row>
    <row r="105">
      <c r="A105" s="2" t="inlineStr">
        <is>
          <t>2026-08-19</t>
        </is>
      </c>
      <c r="B105" s="2" t="inlineStr">
        <is>
          <t>Brokers &amp; MGA/GA</t>
        </is>
      </c>
      <c r="C105" s="2" t="inlineStr">
        <is>
          <t>M&amp;A</t>
        </is>
      </c>
      <c r="D105" s="2" t="inlineStr">
        <is>
          <t>United States</t>
        </is>
      </c>
      <c r="E105" s="2" t="inlineStr">
        <is>
          <t>Thoma Bravo to acquire broker platform Accelerant Holdings in $4 billion-plus buyout</t>
        </is>
      </c>
      <c r="F105" s="2" t="inlineStr">
        <is>
          <t>Private equity firm Thoma Bravo agreed to acquire Accelerant Holdings at a 49% premium to its prior closing price, an enterprise value topping $4 billion, in one of the largest insurance distribution buyouts announced this year.</t>
        </is>
      </c>
      <c r="G105" s="2" t="inlineStr">
        <is>
          <t>SEC filing (Accelerant 8-K)</t>
        </is>
      </c>
      <c r="H105" s="2" t="inlineStr">
        <is>
          <t>https://www.sec.gov/Archives/edgar/data/0001997350/000119312526347925/d286225dex992.htm</t>
        </is>
      </c>
      <c r="I105" s="2" t="inlineStr">
        <is>
          <t>2026-08-13</t>
        </is>
      </c>
    </row>
    <row r="106">
      <c r="A106" s="2" t="inlineStr">
        <is>
          <t>2026-08-21</t>
        </is>
      </c>
      <c r="B106" s="2" t="inlineStr">
        <is>
          <t>Life &amp; Annuities</t>
        </is>
      </c>
      <c r="C106" s="2" t="inlineStr">
        <is>
          <t>Technology &amp; AI</t>
        </is>
      </c>
      <c r="D106" s="2" t="inlineStr">
        <is>
          <t>Global</t>
        </is>
      </c>
      <c r="E106" s="2" t="inlineStr">
        <is>
          <t>AI cuts underwriting cycle times but widens gap between insurers and disrupted agents</t>
        </is>
      </c>
      <c r="F106" s="2" t="inlineStr">
        <is>
          <t>Panelists report AI-driven underwriting platforms now pull data from electronic health records, prescription histories and wearables to render near-instant decisions, cutting underwriting and claims processing times by up to 40% — even as the same tools reshape, and in some cases threaten, the traditional agent's role.</t>
        </is>
      </c>
      <c r="G106" s="2" t="inlineStr">
        <is>
          <t>InsuranceNewsNet</t>
        </is>
      </c>
      <c r="H106" s="2" t="inlineStr">
        <is>
          <t>https://insurancenewsnet.com/innarticle/ais-dual-reality-efficiency-for-insurers-disruption-for-agents</t>
        </is>
      </c>
      <c r="I106" s="2" t="inlineStr">
        <is>
          <t>2026-08-13</t>
        </is>
      </c>
    </row>
    <row r="107">
      <c r="A107" s="2" t="inlineStr">
        <is>
          <t>2026-08-22</t>
        </is>
      </c>
      <c r="B107" s="2" t="inlineStr">
        <is>
          <t>Healthcare / Provider &amp; Clinical</t>
        </is>
      </c>
      <c r="C107" s="2" t="inlineStr">
        <is>
          <t>Market Economics</t>
        </is>
      </c>
      <c r="D107" s="2" t="inlineStr">
        <is>
          <t>UK/Europe</t>
        </is>
      </c>
      <c r="E107" s="2" t="inlineStr">
        <is>
          <t>NHS A&amp;E departments log busiest month on record amid summer heatwaves</t>
        </is>
      </c>
      <c r="F107" s="2" t="inlineStr">
        <is>
          <t>England's NHS saw roughly 2.5 million A&amp;E attendances in July 2026, the busiest month ever recorded, alongside record ambulance call volumes, even as four-hour treatment performance improved slightly month over month.</t>
        </is>
      </c>
      <c r="G107" s="2" t="inlineStr">
        <is>
          <t>National Health Executive</t>
        </is>
      </c>
      <c r="H107" s="2" t="inlineStr">
        <is>
          <t>https://www.nationalhealthexecutive.com/articles/nhs-records-busiest-ever-july-ae-emergency-demand-surges-during-summer-heatwaves</t>
        </is>
      </c>
      <c r="I107" s="2" t="inlineStr">
        <is>
          <t>2026-08-13</t>
        </is>
      </c>
    </row>
    <row r="108">
      <c r="A108" s="2" t="inlineStr">
        <is>
          <t>2026-08-22</t>
        </is>
      </c>
      <c r="B108" s="2" t="inlineStr">
        <is>
          <t>Insurtech</t>
        </is>
      </c>
      <c r="C108" s="2" t="inlineStr">
        <is>
          <t>M&amp;A</t>
        </is>
      </c>
      <c r="D108" s="2" t="inlineStr">
        <is>
          <t>Global</t>
        </is>
      </c>
      <c r="E108" s="2" t="inlineStr">
        <is>
          <t>Thoma Bravo takes specialty insurtech Accelerant private in a deal above $4 billion</t>
        </is>
      </c>
      <c r="F108" s="2" t="inlineStr">
        <is>
          <t>Private equity firm Thoma Bravo signed a definitive agreement to acquire Accelerant Holdings for roughly $20.25 a share in cash, a nearly 49% premium, taking the data-driven specialty-risk exchange private in a transaction expected to close in the first half of 2027.</t>
        </is>
      </c>
      <c r="G108" s="2" t="inlineStr">
        <is>
          <t>Insurance Journal</t>
        </is>
      </c>
      <c r="H108" s="2" t="inlineStr">
        <is>
          <t>https://www.insurancejournal.com/news/southeast/2026/08/13/881367.htm</t>
        </is>
      </c>
      <c r="I108" s="2" t="inlineStr">
        <is>
          <t>2026-08-13</t>
        </is>
      </c>
    </row>
    <row r="109">
      <c r="A109" s="2" t="inlineStr">
        <is>
          <t>2026-08-22</t>
        </is>
      </c>
      <c r="B109" s="2" t="inlineStr">
        <is>
          <t>Investments</t>
        </is>
      </c>
      <c r="C109" s="2" t="inlineStr">
        <is>
          <t>Market Economics</t>
        </is>
      </c>
      <c r="D109" s="2" t="inlineStr">
        <is>
          <t>Global</t>
        </is>
      </c>
      <c r="E109" s="2" t="inlineStr">
        <is>
          <t>RGA's investment income strengthens as new-money yields climb past 6%</t>
        </is>
      </c>
      <c r="F109" s="2" t="inlineStr">
        <is>
          <t>Reinsurance Group of America's second-quarter 2026 earnings showed new money yields of about 6.02% and variable investment income returns of roughly 15%, underscoring how persistently higher interest rates continue to lift reinsurer and insurer portfolio income.</t>
        </is>
      </c>
      <c r="G109" s="2" t="inlineStr">
        <is>
          <t>The Motley Fool</t>
        </is>
      </c>
      <c r="H109" s="2" t="inlineStr">
        <is>
          <t>https://www.fool.com/earnings/call-transcripts/2026/08/13/rga-rga-q2-2026-earnings-call-transcript/</t>
        </is>
      </c>
      <c r="I109" s="2" t="inlineStr">
        <is>
          <t>2026-08-13</t>
        </is>
      </c>
    </row>
    <row r="110">
      <c r="A110" s="2" t="inlineStr">
        <is>
          <t>2026-08-22</t>
        </is>
      </c>
      <c r="B110" s="2" t="inlineStr">
        <is>
          <t>Property &amp; Casualty</t>
        </is>
      </c>
      <c r="C110" s="2" t="inlineStr">
        <is>
          <t>Technology &amp; AI</t>
        </is>
      </c>
      <c r="D110" s="2" t="inlineStr">
        <is>
          <t>United States</t>
        </is>
      </c>
      <c r="E110" s="2" t="inlineStr">
        <is>
          <t>nsur.ai debuts AI underwriting assistant built for P&amp;C carriers and MGAs</t>
        </is>
      </c>
      <c r="F110" s="2" t="inlineStr">
        <is>
          <t>Startup nsur.ai announced general availability of an AI Underwriting Assistant designed to plug into insurers' and MGAs' existing systems rather than replace them, aiming to speed up property-casualty submission handling.</t>
        </is>
      </c>
      <c r="G110" s="2" t="inlineStr">
        <is>
          <t>Yahoo Finance UK</t>
        </is>
      </c>
      <c r="H110" s="2" t="inlineStr">
        <is>
          <t>https://uk.finance.yahoo.com/news/nsur-ai-launches-ai-underwriting-151500826.html</t>
        </is>
      </c>
      <c r="I110" s="2" t="inlineStr">
        <is>
          <t>2026-08-13</t>
        </is>
      </c>
    </row>
    <row r="111">
      <c r="A111" s="2" t="inlineStr">
        <is>
          <t>2026-08-22</t>
        </is>
      </c>
      <c r="B111" s="2" t="inlineStr">
        <is>
          <t>Wealth Management</t>
        </is>
      </c>
      <c r="C111" s="2" t="inlineStr">
        <is>
          <t>Technology &amp; AI</t>
        </is>
      </c>
      <c r="D111" s="2" t="inlineStr">
        <is>
          <t>United States</t>
        </is>
      </c>
      <c r="E111" s="2" t="inlineStr">
        <is>
          <t>Playbook rolls out AI workflow-orchestration platform for advisory firms</t>
        </is>
      </c>
      <c r="F111" s="2" t="inlineStr">
        <is>
          <t>Formerly known as Powder, Playbook launched an AI orchestration platform that lets RIAs, family offices and wealth firms automate complex operational workflows and continuously refine them.</t>
        </is>
      </c>
      <c r="G111" s="2" t="inlineStr">
        <is>
          <t>GlobeNewswire (via Manila Times)</t>
        </is>
      </c>
      <c r="H111" s="2" t="inlineStr">
        <is>
          <t>https://www.manilatimes.net/2026/08/13/tmt-newswire/globenewswire/playbook-launches-ai-orchestration-platform-for-wealth-management-firms/2405069/amp</t>
        </is>
      </c>
      <c r="I111" s="2" t="inlineStr">
        <is>
          <t>2026-08-13</t>
        </is>
      </c>
    </row>
    <row r="112">
      <c r="A112" s="2" t="inlineStr">
        <is>
          <t>2026-08-23</t>
        </is>
      </c>
      <c r="B112" s="2" t="inlineStr">
        <is>
          <t>FinTech</t>
        </is>
      </c>
      <c r="C112" s="2" t="inlineStr">
        <is>
          <t>Investments &amp; Funding</t>
        </is>
      </c>
      <c r="D112" s="2" t="inlineStr">
        <is>
          <t>United States</t>
        </is>
      </c>
      <c r="E112" s="2" t="inlineStr">
        <is>
          <t>AI clearinghouse startup Axle banks $17.5M Series A to expand insurance workflow automation</t>
        </is>
      </c>
      <c r="F112" s="2" t="inlineStr">
        <is>
          <t>Axle raised a $17.5 million Series A led by Base10 Partners, with Y Combinator and Cover Genius founders among backers, to grow its AI agents that automate insurance verification and policy-update workflows across more coverage segments.</t>
        </is>
      </c>
      <c r="G112" s="2" t="inlineStr">
        <is>
          <t>FinTech Global</t>
        </is>
      </c>
      <c r="H112" s="2" t="inlineStr">
        <is>
          <t>https://fintech.global/2026/08/13/axle-raises-17-5m-to-make-insurance-programmable/</t>
        </is>
      </c>
      <c r="I112" s="2" t="inlineStr">
        <is>
          <t>2026-08-13</t>
        </is>
      </c>
    </row>
    <row r="113">
      <c r="A113" s="2" t="inlineStr">
        <is>
          <t>2026-08-23</t>
        </is>
      </c>
      <c r="B113" s="2" t="inlineStr">
        <is>
          <t>Retirement</t>
        </is>
      </c>
      <c r="C113" s="2" t="inlineStr">
        <is>
          <t>People &amp; Leadership</t>
        </is>
      </c>
      <c r="D113" s="2" t="inlineStr">
        <is>
          <t>Global</t>
        </is>
      </c>
      <c r="E113" s="2" t="inlineStr">
        <is>
          <t>Manulife taps Brett Marchand to lead its wealth business as Canada Retirement gets interim chief</t>
        </is>
      </c>
      <c r="F113" s="2" t="inlineStr">
        <is>
          <t>Manulife Wealth &amp; Asset Management named Brett Marchand President and CEO of Manulife Wealth, succeeding Richard McIntyre, while Erica Hall steps in to lead the Canada Retirement business on an interim basis.</t>
        </is>
      </c>
      <c r="G113" s="2" t="inlineStr">
        <is>
          <t>Yahoo Finance</t>
        </is>
      </c>
      <c r="H113" s="2" t="inlineStr">
        <is>
          <t>https://finance.yahoo.com/markets/stocks/articles/manulife-wealth-asset-management-announces-171500953.html</t>
        </is>
      </c>
      <c r="I113" s="2" t="inlineStr">
        <is>
          <t>2026-08-13</t>
        </is>
      </c>
    </row>
    <row r="114">
      <c r="A114" s="2" t="inlineStr">
        <is>
          <t>2026-08-24</t>
        </is>
      </c>
      <c r="B114" s="2" t="inlineStr">
        <is>
          <t>Health Insurance / Payer</t>
        </is>
      </c>
      <c r="C114" s="2" t="inlineStr">
        <is>
          <t>Regulatory &amp; Policy</t>
        </is>
      </c>
      <c r="D114" s="2" t="inlineStr">
        <is>
          <t>United States</t>
        </is>
      </c>
      <c r="E114" s="2" t="inlineStr">
        <is>
          <t>Alignment Healthcare moves to dismiss whistleblower suit alleging it inflated earnings</t>
        </is>
      </c>
      <c r="F114" s="2" t="inlineStr">
        <is>
          <t>Alignment Healthcare filed a motion to dismiss a lawsuit from a former chief data officer who alleges the Medicare Advantage insurer misclassified $8-10 million in expenses to inflate EBITDA and boost its stock price and executive bonuses.</t>
        </is>
      </c>
      <c r="G114" s="2" t="inlineStr">
        <is>
          <t>Modern Healthcare</t>
        </is>
      </c>
      <c r="H114" s="2" t="inlineStr">
        <is>
          <t>https://www.modernhealthcare.com/insurance/mh-alignment-healthcare-whistleblower-lawsuit-dismissal/</t>
        </is>
      </c>
      <c r="I114" s="2" t="inlineStr">
        <is>
          <t>2026-08-13</t>
        </is>
      </c>
    </row>
    <row r="115">
      <c r="A115" s="2" t="inlineStr">
        <is>
          <t>2026-08-26</t>
        </is>
      </c>
      <c r="B115" s="2" t="inlineStr">
        <is>
          <t>Healthcare / Provider &amp; Clinical</t>
        </is>
      </c>
      <c r="C115" s="2" t="inlineStr">
        <is>
          <t>Regulatory &amp; Policy</t>
        </is>
      </c>
      <c r="D115" s="2" t="inlineStr">
        <is>
          <t>United States</t>
        </is>
      </c>
      <c r="E115" s="2" t="inlineStr">
        <is>
          <t>HHS announces $102 million to expand community health centers</t>
        </is>
      </c>
      <c r="F115" s="2" t="inlineStr">
        <is>
          <t>HHS awarded $102 million in New Access Points funding on Aug. 13 to expand the Health Center Program, aiming to bring primary care access to nearly 1 million more Americans.</t>
        </is>
      </c>
      <c r="G115" s="2" t="inlineStr">
        <is>
          <t>HHS.gov</t>
        </is>
      </c>
      <c r="H115" s="2" t="inlineStr">
        <is>
          <t>https://www.hhs.gov/press-room/hhs-invests-102-million-expand-health-centers-primary-care.html</t>
        </is>
      </c>
      <c r="I115" s="2" t="inlineStr">
        <is>
          <t>2026-08-13</t>
        </is>
      </c>
    </row>
    <row r="116">
      <c r="A116" s="2" t="inlineStr">
        <is>
          <t>2026-08-27</t>
        </is>
      </c>
      <c r="B116" s="2" t="inlineStr">
        <is>
          <t>Insurtech</t>
        </is>
      </c>
      <c r="C116" s="2" t="inlineStr">
        <is>
          <t>Technology &amp; AI</t>
        </is>
      </c>
      <c r="D116" s="2" t="inlineStr">
        <is>
          <t>United States</t>
        </is>
      </c>
      <c r="E116" s="2" t="inlineStr">
        <is>
          <t>Lemonade extends its Tesla Full Self-Driving insurance discount to Tennessee</t>
        </is>
      </c>
      <c r="F116" s="2" t="inlineStr">
        <is>
          <t>Lemonade brought its Autonomous Car product, which gives Tesla owners 50% off insurance costs for miles driven under Full Self-Driving supervision, to Tennessee, its fifth state since the January 2026 launch.</t>
        </is>
      </c>
      <c r="G116" s="2" t="inlineStr">
        <is>
          <t>Lemonade Inc.</t>
        </is>
      </c>
      <c r="H116" s="2" t="inlineStr">
        <is>
          <t>https://www.lemonade.com/investor/news/lemonade-brings-autonomous-car-insurance-to-tennessee</t>
        </is>
      </c>
      <c r="I116" s="2" t="inlineStr">
        <is>
          <t>2026-08-13</t>
        </is>
      </c>
    </row>
    <row r="117">
      <c r="A117" s="2" t="inlineStr">
        <is>
          <t>2026-08-31</t>
        </is>
      </c>
      <c r="B117" s="2" t="inlineStr">
        <is>
          <t>Property &amp; Casualty</t>
        </is>
      </c>
      <c r="C117" s="2" t="inlineStr">
        <is>
          <t>People &amp; Leadership</t>
        </is>
      </c>
      <c r="D117" s="2" t="inlineStr">
        <is>
          <t>UK/Europe</t>
        </is>
      </c>
      <c r="E117" s="2" t="inlineStr">
        <is>
          <t>EIOPA elects Bank of Greece supervisor Stavros Konstantas to its Management Board</t>
        </is>
      </c>
      <c r="F117" s="2" t="inlineStr">
        <is>
          <t>Konstantas, director of occupational and private insurance supervision at the Bank of Greece, begins a two-and-a-half-year term on the EU insurance and pensions regulator's board, succeeding Ante Zigman after his move to lead Croatia's central bank.</t>
        </is>
      </c>
      <c r="G117" s="2" t="inlineStr">
        <is>
          <t>The European Times</t>
        </is>
      </c>
      <c r="H117" s="2" t="inlineStr">
        <is>
          <t>https://europeantimes.news/2026/08/eiopa-elects-stavros-konstantas-of-the-bank-of-greece-to-its-management-board/</t>
        </is>
      </c>
      <c r="I117" s="2" t="inlineStr">
        <is>
          <t>2026-08-13</t>
        </is>
      </c>
    </row>
    <row r="118">
      <c r="A118" s="2" t="inlineStr">
        <is>
          <t>2026-08-15</t>
        </is>
      </c>
      <c r="B118" s="2" t="inlineStr">
        <is>
          <t>Insurtech</t>
        </is>
      </c>
      <c r="C118" s="2" t="inlineStr">
        <is>
          <t>Technology &amp; AI</t>
        </is>
      </c>
      <c r="D118" s="2" t="inlineStr">
        <is>
          <t>Global</t>
        </is>
      </c>
      <c r="E118" s="2" t="inlineStr">
        <is>
          <t>AI underwriting startup Sixfold teams up with Sollers Consulting</t>
        </is>
      </c>
      <c r="F118" s="2" t="inlineStr">
        <is>
          <t>Sixfold partnered with Sollers Consulting to help insurance carriers accelerate underwriting transformation, pairing Sixfold's AI-driven risk assessment with Sollers' implementation and consulting support.</t>
        </is>
      </c>
      <c r="G118" s="2" t="inlineStr">
        <is>
          <t>FinTech Global</t>
        </is>
      </c>
      <c r="H118" s="2" t="inlineStr">
        <is>
          <t>https://fintech.global/2026/08/14/sixfold-and-sollers-team-up-on-ai-underwriting/</t>
        </is>
      </c>
      <c r="I118" s="2" t="inlineStr">
        <is>
          <t>2026-08-14</t>
        </is>
      </c>
    </row>
    <row r="119">
      <c r="A119" s="2" t="inlineStr">
        <is>
          <t>2026-08-15</t>
        </is>
      </c>
      <c r="B119" s="2" t="inlineStr">
        <is>
          <t>Property &amp; Casualty</t>
        </is>
      </c>
      <c r="C119" s="2" t="inlineStr">
        <is>
          <t>Regulatory &amp; Policy</t>
        </is>
      </c>
      <c r="D119" s="2" t="inlineStr">
        <is>
          <t>United States</t>
        </is>
      </c>
      <c r="E119" s="2" t="inlineStr">
        <is>
          <t>NAIC's property and casualty panel wraps summer session in Columbus</t>
        </is>
      </c>
      <c r="F119" s="2" t="inlineStr">
        <is>
          <t>The NAIC's Property and Casualty Insurance (C) Committee held its summer national meeting session on August 14 in Columbus, continuing regulatory work on catastrophe risk mitigation and market-conduct oversight.</t>
        </is>
      </c>
      <c r="G119" s="2" t="inlineStr">
        <is>
          <t>NAIC</t>
        </is>
      </c>
      <c r="H119" s="2" t="inlineStr">
        <is>
          <t>https://content.naic.org/committees/c/property-casualty-insurance-cmte</t>
        </is>
      </c>
      <c r="I119" s="2" t="inlineStr">
        <is>
          <t>2026-08-14</t>
        </is>
      </c>
    </row>
    <row r="120">
      <c r="A120" s="2" t="inlineStr">
        <is>
          <t>2026-08-16</t>
        </is>
      </c>
      <c r="B120" s="2" t="inlineStr">
        <is>
          <t>FinTech</t>
        </is>
      </c>
      <c r="C120" s="2" t="inlineStr">
        <is>
          <t>Investments &amp; Funding</t>
        </is>
      </c>
      <c r="D120" s="2" t="inlineStr">
        <is>
          <t>Global</t>
        </is>
      </c>
      <c r="E120" s="2" t="inlineStr">
        <is>
          <t>Weekly fintech funding climbs to $808 million as summer deal flow holds up</t>
        </is>
      </c>
      <c r="F120" s="2" t="inlineStr">
        <is>
          <t>Fintech venture funding rose to roughly $808 million across a dozen deals in the second week of August, up from about $673 million the prior week, as investor appetite for vertical fintech continues into late summer.</t>
        </is>
      </c>
      <c r="G120" s="2" t="inlineStr">
        <is>
          <t>FinTech Global</t>
        </is>
      </c>
      <c r="H120" s="2" t="inlineStr">
        <is>
          <t>https://fintech.global/2026/08/14/fintech-funding-rises-to-808m-this-week-as-summer-rolls-on/</t>
        </is>
      </c>
      <c r="I120" s="2" t="inlineStr">
        <is>
          <t>2026-08-14</t>
        </is>
      </c>
    </row>
    <row r="121">
      <c r="A121" s="2" t="inlineStr">
        <is>
          <t>2026-08-16</t>
        </is>
      </c>
      <c r="B121" s="2" t="inlineStr">
        <is>
          <t>Life &amp; Annuities</t>
        </is>
      </c>
      <c r="C121" s="2" t="inlineStr">
        <is>
          <t>People &amp; Leadership</t>
        </is>
      </c>
      <c r="D121" s="2" t="inlineStr">
        <is>
          <t>APAC</t>
        </is>
      </c>
      <c r="E121" s="2" t="inlineStr">
        <is>
          <t>Etiqa Insurance Singapore names Claudia Soh as permanent CEO</t>
        </is>
      </c>
      <c r="F121" s="2" t="inlineStr">
        <is>
          <t>Etiqa Insurance Singapore confirmed Claudia Soh as chief executive effective mid-August, after she spent six months serving as acting CEO while continuing as the insurer's chief financial officer.</t>
        </is>
      </c>
      <c r="G121" s="2" t="inlineStr">
        <is>
          <t>finews.asia</t>
        </is>
      </c>
      <c r="H121" s="2" t="inlineStr">
        <is>
          <t>https://www.finews.asia/people/45048-etiqa-insurance-singapore-names-claudia-soh-ceo</t>
        </is>
      </c>
      <c r="I121" s="2" t="inlineStr">
        <is>
          <t>2026-08-14</t>
        </is>
      </c>
    </row>
    <row r="122">
      <c r="A122" s="2" t="inlineStr">
        <is>
          <t>2026-08-18</t>
        </is>
      </c>
      <c r="B122" s="2" t="inlineStr">
        <is>
          <t>Retirement</t>
        </is>
      </c>
      <c r="C122" s="2" t="inlineStr">
        <is>
          <t>Market Economics</t>
        </is>
      </c>
      <c r="D122" s="2" t="inlineStr">
        <is>
          <t>India</t>
        </is>
      </c>
      <c r="E122" s="2" t="inlineStr">
        <is>
          <t>India's pension regulator sets goal to grow NPS subscribers more than 30-fold</t>
        </is>
      </c>
      <c r="F122" s="2" t="inlineStr">
        <is>
          <t>PFRDA chairman Sivasubramanian Ramann outlined a target to expand non-government NPS subscribers from about 9 million to 350-400 million within five years, leaning on the StAR NPS digital platform, expanded distribution, and four newly approved pension funds.</t>
        </is>
      </c>
      <c r="G122" s="2" t="inlineStr">
        <is>
          <t>NewKerala</t>
        </is>
      </c>
      <c r="H122" s="2" t="inlineStr">
        <is>
          <t>https://www.newkerala.com/news/a/pfrda-targets-35-40-crore-non-government-nps-subscribers-five-946.htm</t>
        </is>
      </c>
      <c r="I122" s="2" t="inlineStr">
        <is>
          <t>2026-08-14</t>
        </is>
      </c>
    </row>
    <row r="123">
      <c r="A123" s="2" t="inlineStr">
        <is>
          <t>2026-08-19</t>
        </is>
      </c>
      <c r="B123" s="2" t="inlineStr">
        <is>
          <t>Retirement</t>
        </is>
      </c>
      <c r="C123" s="2" t="inlineStr">
        <is>
          <t>People &amp; Leadership</t>
        </is>
      </c>
      <c r="D123" s="2" t="inlineStr">
        <is>
          <t>United States</t>
        </is>
      </c>
      <c r="E123" s="2" t="inlineStr">
        <is>
          <t>Edelman Financial Engines names its first retirement advisory chief to grow workplace plan services</t>
        </is>
      </c>
      <c r="F123" s="2" t="inlineStr">
        <is>
          <t>Edelman Financial Engines hired a OneTrust alum as its first dedicated retirement advisory chief, part of a broader push among RIA platforms to expand into workplace retirement plan advisory services.</t>
        </is>
      </c>
      <c r="G123" s="2" t="inlineStr">
        <is>
          <t>WealthManagement.com</t>
        </is>
      </c>
      <c r="H123" s="2" t="inlineStr">
        <is>
          <t>https://www.wealthmanagement.com/wealth-management-industry-trends/ria-news</t>
        </is>
      </c>
      <c r="I123" s="2" t="inlineStr">
        <is>
          <t>2026-08-14</t>
        </is>
      </c>
    </row>
    <row r="124">
      <c r="A124" s="2" t="inlineStr">
        <is>
          <t>2026-08-21</t>
        </is>
      </c>
      <c r="B124" s="2" t="inlineStr">
        <is>
          <t>Property &amp; Casualty</t>
        </is>
      </c>
      <c r="C124" s="2" t="inlineStr">
        <is>
          <t>Market Economics</t>
        </is>
      </c>
      <c r="D124" s="2" t="inlineStr">
        <is>
          <t>APAC</t>
        </is>
      </c>
      <c r="E124" s="2" t="inlineStr">
        <is>
          <t>APAC insurers navigate geopolitics, catastrophe losses and AI disruption heading into 2026</t>
        </is>
      </c>
      <c r="F124" s="2" t="inlineStr">
        <is>
          <t>Industry outlooks point to double-digit new-business growth for Asia-Pacific life insurers in China, Hong Kong and Singapore, while P&amp;C insurers in the region face rising per-claim costs tied to trade tensions and climate-driven disasters.</t>
        </is>
      </c>
      <c r="G124" s="2" t="inlineStr">
        <is>
          <t>Insurance Business</t>
        </is>
      </c>
      <c r="H124" s="2" t="inlineStr">
        <is>
          <t>https://www.insurancebusinessmag.com/au/news/breaking-news/apac-insurers-confront-geopolitics-catastrophes-and-ai-in-2026-563640.aspx</t>
        </is>
      </c>
      <c r="I124" s="2" t="inlineStr">
        <is>
          <t>2026-08-14</t>
        </is>
      </c>
    </row>
    <row r="125">
      <c r="A125" s="2" t="inlineStr">
        <is>
          <t>2026-08-22</t>
        </is>
      </c>
      <c r="B125" s="2" t="inlineStr">
        <is>
          <t>Healthcare / Provider &amp; Clinical</t>
        </is>
      </c>
      <c r="C125" s="2" t="inlineStr">
        <is>
          <t>Market Economics</t>
        </is>
      </c>
      <c r="D125" s="2" t="inlineStr">
        <is>
          <t>India</t>
        </is>
      </c>
      <c r="E125" s="2" t="inlineStr">
        <is>
          <t>Apollo Hospitals extends outpatient care to all seven days a week</t>
        </is>
      </c>
      <c r="F125" s="2" t="inlineStr">
        <is>
          <t>Apollo Hospitals launched 'Always Open, Always Here,' opening outpatient consultations, diagnostics and scheduled procedures on Sundays across its network, a move it bills as a first for Indian healthcare aimed at reducing weekday wait times.</t>
        </is>
      </c>
      <c r="G125" s="2" t="inlineStr">
        <is>
          <t>PR Newswire</t>
        </is>
      </c>
      <c r="H125" s="2" t="inlineStr">
        <is>
          <t>https://www.prnewswire.com/news-releases/apollo-hospitals-launches-always-open-always-here-a-global-first-in-healthcare-from-india-302856496.html</t>
        </is>
      </c>
      <c r="I125" s="2" t="inlineStr">
        <is>
          <t>2026-08-14</t>
        </is>
      </c>
    </row>
    <row r="126">
      <c r="A126" s="2" t="inlineStr">
        <is>
          <t>2026-08-22</t>
        </is>
      </c>
      <c r="B126" s="2" t="inlineStr">
        <is>
          <t>Life &amp; Annuities</t>
        </is>
      </c>
      <c r="C126" s="2" t="inlineStr">
        <is>
          <t>People &amp; Leadership</t>
        </is>
      </c>
      <c r="D126" s="2" t="inlineStr">
        <is>
          <t>United States</t>
        </is>
      </c>
      <c r="E126" s="2" t="inlineStr">
        <is>
          <t>Protective Life lines up CEO succession as Bielen prepares to retire</t>
        </is>
      </c>
      <c r="F126" s="2" t="inlineStr">
        <is>
          <t>Protective Life Corporation announced that longtime chief executive Rich Bielen will retire at the end of 2026, with current president and CFO Paul Wells named to take over as president and CEO starting January 1, 2027.</t>
        </is>
      </c>
      <c r="G126" s="2" t="inlineStr">
        <is>
          <t>Insurance Business America</t>
        </is>
      </c>
      <c r="H126" s="2" t="inlineStr">
        <is>
          <t>https://www.insurancebusinessmag.com/us/news/breaking-news/insurance-moves-protective-life-alliant-pekin-life-575356.aspx</t>
        </is>
      </c>
      <c r="I126" s="2" t="inlineStr">
        <is>
          <t>2026-08-14</t>
        </is>
      </c>
    </row>
    <row r="127">
      <c r="A127" s="2" t="inlineStr">
        <is>
          <t>2026-08-23</t>
        </is>
      </c>
      <c r="B127" s="2" t="inlineStr">
        <is>
          <t>Healthcare / Provider &amp; Clinical</t>
        </is>
      </c>
      <c r="C127" s="2" t="inlineStr">
        <is>
          <t>Technology &amp; AI</t>
        </is>
      </c>
      <c r="D127" s="2" t="inlineStr">
        <is>
          <t>United States</t>
        </is>
      </c>
      <c r="E127" s="2" t="inlineStr">
        <is>
          <t>Hartford HealthCare Scales PatientGPT AI Assistant to Reach Over One Million Patients</t>
        </is>
      </c>
      <c r="F127" s="2" t="inlineStr">
        <is>
          <t>Hartford HealthCare is inviting more than a million adult patients to use its HHC PatientGPT natural-language health assistant by year-end, in one of the largest patient-facing generative AI rollouts by a U.S. health system to date.</t>
        </is>
      </c>
      <c r="G127" s="2" t="inlineStr">
        <is>
          <t>Lucien Engelen (Daily Health AI Chronicle)</t>
        </is>
      </c>
      <c r="H127" s="2" t="inlineStr">
        <is>
          <t>https://lucienengelen.com/blog/daily-chronicle-2026-08-14/</t>
        </is>
      </c>
      <c r="I127" s="2" t="inlineStr">
        <is>
          <t>2026-08-14</t>
        </is>
      </c>
    </row>
    <row r="128">
      <c r="A128" s="2" t="inlineStr">
        <is>
          <t>2026-08-23</t>
        </is>
      </c>
      <c r="B128" s="2" t="inlineStr">
        <is>
          <t>Wealth Management</t>
        </is>
      </c>
      <c r="C128" s="2" t="inlineStr">
        <is>
          <t>People &amp; Leadership</t>
        </is>
      </c>
      <c r="D128" s="2" t="inlineStr">
        <is>
          <t>United States</t>
        </is>
      </c>
      <c r="E128" s="2" t="inlineStr">
        <is>
          <t>Retirement Industry Sees Fresh Round of Executive Moves in Mid-August</t>
        </is>
      </c>
      <c r="F128" s="2" t="inlineStr">
        <is>
          <t>PLANADVISER's latest roundup of retirement-industry personnel changes highlights a new set of appointments and departures across recordkeepers, asset managers and advisory firms for the week of August 14, 2026.</t>
        </is>
      </c>
      <c r="G128" s="2" t="inlineStr">
        <is>
          <t>PLANADVISER</t>
        </is>
      </c>
      <c r="H128" s="2" t="inlineStr">
        <is>
          <t>https://www.planadviser.com/retirement-industry-people-moves-8-14-2026-2/</t>
        </is>
      </c>
      <c r="I128" s="2" t="inlineStr">
        <is>
          <t>2026-08-14</t>
        </is>
      </c>
    </row>
    <row r="129">
      <c r="A129" s="2" t="inlineStr">
        <is>
          <t>2026-08-29</t>
        </is>
      </c>
      <c r="B129" s="2" t="inlineStr">
        <is>
          <t>Property &amp; Casualty</t>
        </is>
      </c>
      <c r="C129" s="2" t="inlineStr">
        <is>
          <t>Investments &amp; Funding</t>
        </is>
      </c>
      <c r="D129" s="2" t="inlineStr">
        <is>
          <t>Global</t>
        </is>
      </c>
      <c r="E129" s="2" t="inlineStr">
        <is>
          <t>Chubb pursues insurance market's first annual aggregate cyber catastrophe bond</t>
        </is>
      </c>
      <c r="F129" s="2" t="inlineStr">
        <is>
          <t>Chubb is seeking annual aggregate cyber reinsurance protection through a new East Lane Re VII catastrophe bond, which would become the first aggregate cyber cat bond in the market's history as capital markets take on more cyber-loss risk.</t>
        </is>
      </c>
      <c r="G129" s="2" t="inlineStr">
        <is>
          <t>Artemis.bm</t>
        </is>
      </c>
      <c r="H129" s="2" t="inlineStr">
        <is>
          <t>https://www.artemis.bm/news/chubb-opts-to-pursue-first-ever-annual-aggregate-cyber-catastrophe-bond/</t>
        </is>
      </c>
      <c r="I129" s="2" t="inlineStr">
        <is>
          <t>2026-08-14</t>
        </is>
      </c>
    </row>
    <row r="130">
      <c r="A130" s="2" t="inlineStr">
        <is>
          <t>2026-08-31</t>
        </is>
      </c>
      <c r="B130" s="2" t="inlineStr">
        <is>
          <t>FinTech</t>
        </is>
      </c>
      <c r="C130" s="2" t="inlineStr">
        <is>
          <t>Technology &amp; AI</t>
        </is>
      </c>
      <c r="D130" s="2" t="inlineStr">
        <is>
          <t>APAC</t>
        </is>
      </c>
      <c r="E130" s="2" t="inlineStr">
        <is>
          <t>Hong Kong's new crypto rules could open an $82 billion insurance opportunity</t>
        </is>
      </c>
      <c r="F130" s="2" t="inlineStr">
        <is>
          <t>New digital-asset regulation in Hong Kong is creating a potential market for insurers to cover crypto custody, exchange and institutional-holding risk, as the territory positions itself as a digital-asset hub.</t>
        </is>
      </c>
      <c r="G130" s="2" t="inlineStr">
        <is>
          <t>Yahoo Finance</t>
        </is>
      </c>
      <c r="H130" s="2" t="inlineStr">
        <is>
          <t>https://finance.yahoo.com/news/hong-kong-crypto-rules-could-064100762.html</t>
        </is>
      </c>
      <c r="I130" s="2" t="inlineStr">
        <is>
          <t>2026-08-14</t>
        </is>
      </c>
    </row>
    <row r="131">
      <c r="A131" s="2" t="inlineStr">
        <is>
          <t>2026-08-21</t>
        </is>
      </c>
      <c r="B131" s="2" t="inlineStr">
        <is>
          <t>Health Insurance / Payer</t>
        </is>
      </c>
      <c r="C131" s="2" t="inlineStr">
        <is>
          <t>Market Economics</t>
        </is>
      </c>
      <c r="D131" s="2" t="inlineStr">
        <is>
          <t>United States</t>
        </is>
      </c>
      <c r="E131" s="2" t="inlineStr">
        <is>
          <t>Providence Health Plan to shut down entirely after Medicare Advantage sale collapses</t>
        </is>
      </c>
      <c r="F131" s="2" t="inlineStr">
        <is>
          <t>The Renton, Washington-based nonprofit's roughly 440,000-member health plan will wind down after talks with an unnamed carrier to keep its Medicare Advantage book alive fell apart; coverage continues without interruption through the end of 2026.</t>
        </is>
      </c>
      <c r="G131" s="2" t="inlineStr">
        <is>
          <t>Healthcare Dive</t>
        </is>
      </c>
      <c r="H131" s="2" t="inlineStr">
        <is>
          <t>https://www.healthcaredive.com/news/providence-health-plan-medicare-advantage-deal-fails-closure/828195/</t>
        </is>
      </c>
      <c r="I131" s="2" t="inlineStr">
        <is>
          <t>2026-08-15</t>
        </is>
      </c>
    </row>
    <row r="132">
      <c r="A132" s="2" t="inlineStr">
        <is>
          <t>2026-08-22</t>
        </is>
      </c>
      <c r="B132" s="2" t="inlineStr">
        <is>
          <t>Brokers &amp; MGA/GA</t>
        </is>
      </c>
      <c r="C132" s="2" t="inlineStr">
        <is>
          <t>People &amp; Leadership</t>
        </is>
      </c>
      <c r="D132" s="2" t="inlineStr">
        <is>
          <t>India</t>
        </is>
      </c>
      <c r="E132" s="2" t="inlineStr">
        <is>
          <t>InsuranceDekho elevates revenue chief to head its insurance distribution unit</t>
        </is>
      </c>
      <c r="F132" s="2" t="inlineStr">
        <is>
          <t>Online insurance marketplace InsuranceDekho promoted Chief Revenue Officer Abhishek Bansal to CEO of its core Insurance Business and hired Joyeeta Ghosal as Head of Marketing, as part of a broader leadership reshuffle.</t>
        </is>
      </c>
      <c r="G132" s="2" t="inlineStr">
        <is>
          <t>MediaNews4u</t>
        </is>
      </c>
      <c r="H132" s="2" t="inlineStr">
        <is>
          <t>https://www.medianews4u.com/insurancedekho-promotes-abhishek-bansal-to-ceo-insurance-business-appoints-joyeeta-ghosal-as-head-of-marketing/</t>
        </is>
      </c>
      <c r="I132" s="2" t="inlineStr">
        <is>
          <t>2026-08-15</t>
        </is>
      </c>
    </row>
    <row r="133">
      <c r="A133" s="2" t="inlineStr">
        <is>
          <t>2026-08-22</t>
        </is>
      </c>
      <c r="B133" s="2" t="inlineStr">
        <is>
          <t>Health Insurance / Payer</t>
        </is>
      </c>
      <c r="C133" s="2" t="inlineStr">
        <is>
          <t>Market Economics</t>
        </is>
      </c>
      <c r="D133" s="2" t="inlineStr">
        <is>
          <t>United States</t>
        </is>
      </c>
      <c r="E133" s="2" t="inlineStr">
        <is>
          <t>Employers increasingly ditch the 'Big Three' PBMs, survey shows</t>
        </is>
      </c>
      <c r="F133" s="2" t="inlineStr">
        <is>
          <t>A National Alliance of Healthcare Purchaser Coalitions survey released in mid-August found the share of employers using Express Scripts, CVS Caremark or Optum Rx dropped from 63% to 54% year over year, with smaller employers driving the exodus to upstart pharmacy benefit managers.</t>
        </is>
      </c>
      <c r="G133" s="2" t="inlineStr">
        <is>
          <t>Bloomberg Law</t>
        </is>
      </c>
      <c r="H133" s="2" t="inlineStr">
        <is>
          <t>https://news.bloomberglaw.com/health-law-and-business/employer-survey-signals-coming-shakeup-in-pbm-market-dynamics</t>
        </is>
      </c>
      <c r="I133" s="2" t="inlineStr">
        <is>
          <t>2026-08-15</t>
        </is>
      </c>
    </row>
    <row r="134">
      <c r="A134" s="2" t="inlineStr">
        <is>
          <t>2026-08-22</t>
        </is>
      </c>
      <c r="B134" s="2" t="inlineStr">
        <is>
          <t>Health Insurance / Payer</t>
        </is>
      </c>
      <c r="C134" s="2" t="inlineStr">
        <is>
          <t>Regulatory &amp; Policy</t>
        </is>
      </c>
      <c r="D134" s="2" t="inlineStr">
        <is>
          <t>United States</t>
        </is>
      </c>
      <c r="E134" s="2" t="inlineStr">
        <is>
          <t>States race to notify Medicaid enrollees ahead of new work requirements</t>
        </is>
      </c>
      <c r="F134" s="2" t="inlineStr">
        <is>
          <t>State Medicaid agencies must conduct enrollee outreach between June 30 and August 31, 2026 about incoming federal work requirements, which researchers project could cause more than 5 million people to lose coverage by 2034.</t>
        </is>
      </c>
      <c r="G134" s="2" t="inlineStr">
        <is>
          <t>KFF</t>
        </is>
      </c>
      <c r="H134" s="2" t="inlineStr">
        <is>
          <t>https://www.kff.org/medicaid/medicaid-work-requirements-federal-outreach-requirements-and-state-plans/</t>
        </is>
      </c>
      <c r="I134" s="2" t="inlineStr">
        <is>
          <t>2026-08-15</t>
        </is>
      </c>
    </row>
    <row r="135">
      <c r="A135" s="2" t="inlineStr">
        <is>
          <t>2026-08-25</t>
        </is>
      </c>
      <c r="B135" s="2" t="inlineStr">
        <is>
          <t>Life &amp; Annuities</t>
        </is>
      </c>
      <c r="C135" s="2" t="inlineStr">
        <is>
          <t>Technology &amp; AI</t>
        </is>
      </c>
      <c r="D135" s="2" t="inlineStr">
        <is>
          <t>Global</t>
        </is>
      </c>
      <c r="E135" s="2" t="inlineStr">
        <is>
          <t>Gallagher maps how AI and shifting demand are reshaping life and annuity carriers</t>
        </is>
      </c>
      <c r="F135" s="2" t="inlineStr">
        <is>
          <t>A Gallagher analysis of the life and annuities sector highlights how carriers are adopting AI-driven underwriting and product innovation to respond to changing consumer expectations and demographic shifts.</t>
        </is>
      </c>
      <c r="G135" s="2" t="inlineStr">
        <is>
          <t>Gallagher (AJG)</t>
        </is>
      </c>
      <c r="H135" s="2" t="inlineStr">
        <is>
          <t>https://www.ajg.com/life-insurance-and-annuities-trends-and-transformations/</t>
        </is>
      </c>
      <c r="I135" s="2" t="inlineStr">
        <is>
          <t>2026-08-15</t>
        </is>
      </c>
    </row>
    <row r="136">
      <c r="A136" s="2" t="inlineStr">
        <is>
          <t>2026-08-26</t>
        </is>
      </c>
      <c r="B136" s="2" t="inlineStr">
        <is>
          <t>Wealth Management</t>
        </is>
      </c>
      <c r="C136" s="2" t="inlineStr">
        <is>
          <t>M&amp;A</t>
        </is>
      </c>
      <c r="D136" s="2" t="inlineStr">
        <is>
          <t>United States</t>
        </is>
      </c>
      <c r="E136" s="2" t="inlineStr">
        <is>
          <t>Wealth Enhancement acquires Oklahoma City's Servo Wealth Management</t>
        </is>
      </c>
      <c r="F136" s="2" t="inlineStr">
        <is>
          <t>Wealth Enhancement acquired the investment advisory business of Servo Wealth Management, an Oklahoma City RIA managing more than $210 million for physicians, attorneys and business owners, deepening the Minneapolis consolidator's presence in the South-Central U.S.</t>
        </is>
      </c>
      <c r="G136" s="2" t="inlineStr">
        <is>
          <t>PR Newswire</t>
        </is>
      </c>
      <c r="H136" s="2" t="inlineStr">
        <is>
          <t>https://www.prnewswire.com/news-releases/wealth-enhancement-announces-acquisition-of-servo-wealth-management-an-independent-ria-with-over-210-million-in-client-assets-302855693.html</t>
        </is>
      </c>
      <c r="I136" s="2" t="inlineStr">
        <is>
          <t>2026-08-15</t>
        </is>
      </c>
    </row>
    <row r="137">
      <c r="A137" s="2" t="inlineStr">
        <is>
          <t>2026-08-27</t>
        </is>
      </c>
      <c r="B137" s="2" t="inlineStr">
        <is>
          <t>Health Insurance / Payer</t>
        </is>
      </c>
      <c r="C137" s="2" t="inlineStr">
        <is>
          <t>Market Economics</t>
        </is>
      </c>
      <c r="D137" s="2" t="inlineStr">
        <is>
          <t>United States</t>
        </is>
      </c>
      <c r="E137" s="2" t="inlineStr">
        <is>
          <t>Medicare Advantage loss ratios climbed to a five-year high in 2025</t>
        </is>
      </c>
      <c r="F137" s="2" t="inlineStr">
        <is>
          <t>A market review finds Medicare Advantage combined loss ratios reached 90.3% in 2025, the highest in five years, adding pressure on insurer margins even as 2026 rate adjustments are expected to offer some relief.</t>
        </is>
      </c>
      <c r="G137" s="2" t="inlineStr">
        <is>
          <t>Medicare Market Insights</t>
        </is>
      </c>
      <c r="H137" s="2" t="inlineStr">
        <is>
          <t>https://www.medicaremarketinsights.com/p/medicare-advantage-loss-ratios-2025-market-review</t>
        </is>
      </c>
      <c r="I137" s="2" t="inlineStr">
        <is>
          <t>2026-08-15</t>
        </is>
      </c>
    </row>
    <row r="138">
      <c r="A138" s="2" t="inlineStr">
        <is>
          <t>2026-08-27</t>
        </is>
      </c>
      <c r="B138" s="2" t="inlineStr">
        <is>
          <t>Investments</t>
        </is>
      </c>
      <c r="C138" s="2" t="inlineStr">
        <is>
          <t>Market Economics</t>
        </is>
      </c>
      <c r="D138" s="2" t="inlineStr">
        <is>
          <t>APAC</t>
        </is>
      </c>
      <c r="E138" s="2" t="inlineStr">
        <is>
          <t>Asia-Pacific reinsurers post 4% revenue growth, reversing prior-year decline</t>
        </is>
      </c>
      <c r="F138" s="2" t="inlineStr">
        <is>
          <t>A.M. Best reports Asia-Pacific reinsurers grew net insurance service revenue 4% year-on-year in 2025, snapping a prior decline, with earnings supported by a heavier mix of non-proportional overseas treaty business.</t>
        </is>
      </c>
      <c r="G138" s="2" t="inlineStr">
        <is>
          <t>Business Insurance</t>
        </is>
      </c>
      <c r="H138" s="2" t="inlineStr">
        <is>
          <t>https://www.businessinsurance.com/asia-pacific-reinsurers-reverse-revenue-decline/</t>
        </is>
      </c>
      <c r="I138" s="2" t="inlineStr">
        <is>
          <t>2026-08-15</t>
        </is>
      </c>
    </row>
    <row r="139">
      <c r="A139" s="2" t="inlineStr">
        <is>
          <t>2026-08-30</t>
        </is>
      </c>
      <c r="B139" s="2" t="inlineStr">
        <is>
          <t>Brokers &amp; MGA/GA</t>
        </is>
      </c>
      <c r="C139" s="2" t="inlineStr">
        <is>
          <t>Market Economics</t>
        </is>
      </c>
      <c r="D139" s="2" t="inlineStr">
        <is>
          <t>Global</t>
        </is>
      </c>
      <c r="E139" s="2" t="inlineStr">
        <is>
          <t>Top five MGA groups now control nearly a fifth of a $17 billion global market</t>
        </is>
      </c>
      <c r="F139" s="2" t="inlineStr">
        <is>
          <t>Brown &amp; Brown, Truist Insurance Holdings, Amwins, Ryan Specialty and Gallagher lead the global MGA, MGU and cover-holder market, which grew roughly 19% to about $17.3 billion in revenue, with Brown &amp; Brown alone topping $1 billion in delegated-underwriting revenue.</t>
        </is>
      </c>
      <c r="G139" s="2" t="inlineStr">
        <is>
          <t>beinsure.com</t>
        </is>
      </c>
      <c r="H139" s="2" t="inlineStr">
        <is>
          <t>https://beinsure.com/top-ranking-mga-worldwide/</t>
        </is>
      </c>
      <c r="I139" s="2" t="inlineStr">
        <is>
          <t>2026-08-15</t>
        </is>
      </c>
    </row>
    <row r="140">
      <c r="A140" s="2" t="inlineStr">
        <is>
          <t>2026-08-30</t>
        </is>
      </c>
      <c r="B140" s="2" t="inlineStr">
        <is>
          <t>Healthcare / Provider &amp; Clinical</t>
        </is>
      </c>
      <c r="C140" s="2" t="inlineStr">
        <is>
          <t>Technology &amp; AI</t>
        </is>
      </c>
      <c r="D140" s="2" t="inlineStr">
        <is>
          <t>United States</t>
        </is>
      </c>
      <c r="E140" s="2" t="inlineStr">
        <is>
          <t>Exer AI expands Mayo Clinic partnership to widen clinical AI tool deployment</t>
        </is>
      </c>
      <c r="F140" s="2" t="inlineStr">
        <is>
          <t>Exer AI broadened its partnership with Mayo Clinic to further integrate its AI-powered movement-assessment technology into orthopaedic clinical workflows.</t>
        </is>
      </c>
      <c r="G140" s="2" t="inlineStr">
        <is>
          <t>Digital Health News</t>
        </is>
      </c>
      <c r="H140" s="2" t="inlineStr">
        <is>
          <t>https://www.digitalhealthnews.com/exer-ai-expands-mayo-clinic-partnership-to-advance-clinical-ai-tool-deployment</t>
        </is>
      </c>
      <c r="I140" s="2" t="inlineStr">
        <is>
          <t>2026-08-15</t>
        </is>
      </c>
    </row>
    <row r="141">
      <c r="A141" s="2" t="inlineStr">
        <is>
          <t>2026-08-30</t>
        </is>
      </c>
      <c r="B141" s="2" t="inlineStr">
        <is>
          <t>TPA</t>
        </is>
      </c>
      <c r="C141" s="2" t="inlineStr">
        <is>
          <t>Technology &amp; AI</t>
        </is>
      </c>
      <c r="D141" s="2" t="inlineStr">
        <is>
          <t>United States</t>
        </is>
      </c>
      <c r="E141" s="2" t="inlineStr">
        <is>
          <t>TPAs push beyond claims handling into prevention and AI-powered risk management</t>
        </is>
      </c>
      <c r="F141" s="2" t="inlineStr">
        <is>
          <t>Gallagher Bassett argues third-party administrators are shifting from reactive claims processing toward proactive risk prevention, pre-loss consulting and AI-driven claims tools as carriers face rising claim severity and complexity.</t>
        </is>
      </c>
      <c r="G141" s="2" t="inlineStr">
        <is>
          <t>Gallagher Bassett</t>
        </is>
      </c>
      <c r="H141" s="2" t="inlineStr">
        <is>
          <t>https://insurers.gallagherbassett.com/media/beyond-claims-tpas-push-into-prevention-protection-and-ai-powered-risk-management/</t>
        </is>
      </c>
      <c r="I141" s="2" t="inlineStr">
        <is>
          <t>2026-08-15</t>
        </is>
      </c>
    </row>
    <row r="142">
      <c r="A142" s="2" t="inlineStr">
        <is>
          <t>2026-08-31</t>
        </is>
      </c>
      <c r="B142" s="2" t="inlineStr">
        <is>
          <t>Retirement</t>
        </is>
      </c>
      <c r="C142" s="2" t="inlineStr">
        <is>
          <t>Market Economics</t>
        </is>
      </c>
      <c r="D142" s="2" t="inlineStr">
        <is>
          <t>United States</t>
        </is>
      </c>
      <c r="E142" s="2" t="inlineStr">
        <is>
          <t>Retirement income council calls decumulation the next frontier for defined-contribution plans</t>
        </is>
      </c>
      <c r="F142" s="2" t="inlineStr">
        <is>
          <t>The Institutional Retirement Income Council outlined five moves plan sponsors should make now to help participants convert savings into retirement income, as the industry's attention shifts from asset accumulation to drawdown.</t>
        </is>
      </c>
      <c r="G142" s="2" t="inlineStr">
        <is>
          <t>Pensions &amp; Investments</t>
        </is>
      </c>
      <c r="H142" s="2" t="inlineStr">
        <is>
          <t>https://www.pionline.com/institutional-investors/pi-institutional-retirement-council-income-august-2026/</t>
        </is>
      </c>
      <c r="I142" s="2" t="inlineStr">
        <is>
          <t>2026-08-15</t>
        </is>
      </c>
    </row>
    <row r="143">
      <c r="A143" s="2" t="inlineStr">
        <is>
          <t>2026-09-01</t>
        </is>
      </c>
      <c r="B143" s="2" t="inlineStr">
        <is>
          <t>Wealth Management</t>
        </is>
      </c>
      <c r="C143" s="2" t="inlineStr">
        <is>
          <t>Investments &amp; Funding</t>
        </is>
      </c>
      <c r="D143" s="2" t="inlineStr">
        <is>
          <t>United States</t>
        </is>
      </c>
      <c r="E143" s="2" t="inlineStr">
        <is>
          <t>AI-native advisor platform Jump raises $80 million Series B</t>
        </is>
      </c>
      <c r="F143" s="2" t="inlineStr">
        <is>
          <t>Jump, an AI platform for financial advisors, raised an $80 million Series B led by Insight Partners with participation from F-Prime Capital and Allianz Life Ventures, four times the size of its Series A.</t>
        </is>
      </c>
      <c r="G143" s="2" t="inlineStr">
        <is>
          <t>The Daily Upside</t>
        </is>
      </c>
      <c r="H143" s="2" t="inlineStr">
        <is>
          <t>https://www.thedailyupside.com/advisor/wealthtech/wealthtech-jump-raises-80m-as-ai-wealthtech-funding-surges/</t>
        </is>
      </c>
      <c r="I143" s="2" t="inlineStr">
        <is>
          <t>2026-08-15</t>
        </is>
      </c>
    </row>
    <row r="144">
      <c r="A144" s="2" t="inlineStr">
        <is>
          <t>2026-09-02</t>
        </is>
      </c>
      <c r="B144" s="2" t="inlineStr">
        <is>
          <t>Brokers &amp; MGA/GA</t>
        </is>
      </c>
      <c r="C144" s="2" t="inlineStr">
        <is>
          <t>Market Economics</t>
        </is>
      </c>
      <c r="D144" s="2" t="inlineStr">
        <is>
          <t>Global</t>
        </is>
      </c>
      <c r="E144" s="2" t="inlineStr">
        <is>
          <t>Brokers rate the MGAs that stood out in 2026 in Insurance Business Canada's annual review</t>
        </is>
      </c>
      <c r="F144" s="2" t="inlineStr">
        <is>
          <t>Insurance Business Canada opened its 10th annual Brokers on MGAs evaluation, inviting brokers to score managing general agents on underwriting responsiveness, technical expertise, compensation and claims support.</t>
        </is>
      </c>
      <c r="G144" s="2" t="inlineStr">
        <is>
          <t>Insurance Business</t>
        </is>
      </c>
      <c r="H144" s="2" t="inlineStr">
        <is>
          <t>https://www.insurancebusinessmag.com/ca/news/breaking-news/brokers-picks-spotlight-the-mgas-that-stand-out-in-2026-575442.aspx</t>
        </is>
      </c>
      <c r="I144" s="2" t="inlineStr">
        <is>
          <t>2026-08-15</t>
        </is>
      </c>
    </row>
    <row r="145">
      <c r="A145" s="2" t="inlineStr">
        <is>
          <t>2026-09-02</t>
        </is>
      </c>
      <c r="B145" s="2" t="inlineStr">
        <is>
          <t>Wealth Management</t>
        </is>
      </c>
      <c r="C145" s="2" t="inlineStr">
        <is>
          <t>Technology &amp; AI</t>
        </is>
      </c>
      <c r="D145" s="2" t="inlineStr">
        <is>
          <t>India</t>
        </is>
      </c>
      <c r="E145" s="2" t="inlineStr">
        <is>
          <t>India's wealth managers grapple with fragmented data as portfolios grow more complex</t>
        </is>
      </c>
      <c r="F145" s="2" t="inlineStr">
        <is>
          <t>Industry panelists at a Hubbis discussion said rapid wealth creation and intergenerational transfer are exposing gaps in Indian wealth managers' legacy data and operating systems, pushing firms toward consolidated platforms and AI tools.</t>
        </is>
      </c>
      <c r="G145" s="2" t="inlineStr">
        <is>
          <t>Hubbis</t>
        </is>
      </c>
      <c r="H145" s="2" t="inlineStr">
        <is>
          <t>https://www.hubbis.com/article/platforms-pressure-and-progress-confronting-the-real-challenges-reshaping-india-s-wealth-management-industry</t>
        </is>
      </c>
      <c r="I145" s="2" t="inlineStr">
        <is>
          <t>2026-08-15</t>
        </is>
      </c>
    </row>
    <row r="146">
      <c r="A146" s="2" t="inlineStr">
        <is>
          <t>2026-09-03</t>
        </is>
      </c>
      <c r="B146" s="2" t="inlineStr">
        <is>
          <t>Property &amp; Casualty</t>
        </is>
      </c>
      <c r="C146" s="2" t="inlineStr">
        <is>
          <t>M&amp;A</t>
        </is>
      </c>
      <c r="D146" s="2" t="inlineStr">
        <is>
          <t>United States</t>
        </is>
      </c>
      <c r="E146" s="2" t="inlineStr">
        <is>
          <t>Zurich and Farmers Exchanges to acquire MetLife's U.S. property and casualty business for $3.9 billion</t>
        </is>
      </c>
      <c r="F146" s="2" t="inlineStr">
        <is>
          <t>Zurich Insurance and the Farmers Exchanges agreed to buy MetLife's U.S. P&amp;C operations for roughly $3.9 billion, part of a broader wave of targeted, capital-efficient consolidation among carriers this year.</t>
        </is>
      </c>
      <c r="G146" s="2" t="inlineStr">
        <is>
          <t>GlobeNewswire</t>
        </is>
      </c>
      <c r="H146" s="2" t="inlineStr">
        <is>
          <t>https://www.globenewswire.com/news-release/2026/09/02/3355120/0/en/u-s-p-c-insurers-post-strong-underwriting-gains-through-first-half-of-2026-line-specific-and-geographic-challenges-persist.html</t>
        </is>
      </c>
      <c r="I146" s="2" t="inlineStr">
        <is>
          <t>2026-08-15</t>
        </is>
      </c>
    </row>
    <row r="147">
      <c r="A147" s="2" t="inlineStr">
        <is>
          <t>2026-09-04</t>
        </is>
      </c>
      <c r="B147" s="2" t="inlineStr">
        <is>
          <t>Wealth Management</t>
        </is>
      </c>
      <c r="C147" s="2" t="inlineStr">
        <is>
          <t>Technology &amp; AI</t>
        </is>
      </c>
      <c r="D147" s="2" t="inlineStr">
        <is>
          <t>United States</t>
        </is>
      </c>
      <c r="E147" s="2" t="inlineStr">
        <is>
          <t>Hightower taps data infrastructure startup Dispatch to unify records across its advisory network</t>
        </is>
      </c>
      <c r="F147" s="2" t="inlineStr">
        <is>
          <t>Hightower Advisors selected fintech Dispatch to synchronize client data across custodians for its Hightower Signature Wealth channel, which has scaled to roughly $35 billion in assets across 30 locations as the firm consolidates breakaway advisor teams.</t>
        </is>
      </c>
      <c r="G147" s="2" t="inlineStr">
        <is>
          <t>InvestmentNews</t>
        </is>
      </c>
      <c r="H147" s="2" t="inlineStr">
        <is>
          <t>https://www.investmentnews.com/ria-news/hightower-taps-dispatch-to-unify-client-data-across-signature-wealth-platform/268018</t>
        </is>
      </c>
      <c r="I147" s="2" t="inlineStr">
        <is>
          <t>2026-08-15</t>
        </is>
      </c>
    </row>
    <row r="148">
      <c r="A148" s="2" t="inlineStr">
        <is>
          <t>2026-09-04</t>
        </is>
      </c>
      <c r="B148" s="2" t="inlineStr">
        <is>
          <t>Wealth Management</t>
        </is>
      </c>
      <c r="C148" s="2" t="inlineStr">
        <is>
          <t>M&amp;A</t>
        </is>
      </c>
      <c r="D148" s="2" t="inlineStr">
        <is>
          <t>United States</t>
        </is>
      </c>
      <c r="E148" s="2" t="inlineStr">
        <is>
          <t>Vanguard deepens its push into financial advice with deal to acquire digital RIA platform Altruist</t>
        </is>
      </c>
      <c r="F148" s="2" t="inlineStr">
        <is>
          <t>Vanguard, under CEO Salim Ramji, is moving further into financial advice through an agreement to acquire Altruist, seen as an attempt to reshape the RIA custody and advice landscape, though analysts say winning over independent advisors may prove challenging.</t>
        </is>
      </c>
      <c r="G148" s="2" t="inlineStr">
        <is>
          <t>WealthManagement.com</t>
        </is>
      </c>
      <c r="H148" s="2" t="inlineStr">
        <is>
          <t>https://www.wealthmanagement.com/ria-news/can-the-vanguard-effect-upend-wealth-management-</t>
        </is>
      </c>
      <c r="I148" s="2" t="inlineStr">
        <is>
          <t>2026-08-15</t>
        </is>
      </c>
    </row>
    <row r="149">
      <c r="A149" s="2" t="inlineStr">
        <is>
          <t>2026-09-05</t>
        </is>
      </c>
      <c r="B149" s="2" t="inlineStr">
        <is>
          <t>FinTech</t>
        </is>
      </c>
      <c r="C149" s="2" t="inlineStr">
        <is>
          <t>Regulatory &amp; Policy</t>
        </is>
      </c>
      <c r="D149" s="2" t="inlineStr">
        <is>
          <t>Global</t>
        </is>
      </c>
      <c r="E149" s="2" t="inlineStr">
        <is>
          <t>Global insurance supervisors roll out a practical AI-governance toolkit for regulators</t>
        </is>
      </c>
      <c r="F149" s="2" t="inlineStr">
        <is>
          <t>The International Association of Insurance Supervisors published member-only 2026 guidance, including a supervisory "question bank," to help national regulators engage with insurers on AI governance and risk management for real-world AI use cases.</t>
        </is>
      </c>
      <c r="G149" s="2" t="inlineStr">
        <is>
          <t>IAIS</t>
        </is>
      </c>
      <c r="H149" s="2" t="inlineStr">
        <is>
          <t>https://www.iais.org/activities-topics/digital-innovation/</t>
        </is>
      </c>
      <c r="I149" s="2" t="inlineStr">
        <is>
          <t>2026-08-15</t>
        </is>
      </c>
    </row>
    <row r="150">
      <c r="A150" s="2" t="inlineStr">
        <is>
          <t>2026-09-05</t>
        </is>
      </c>
      <c r="B150" s="2" t="inlineStr">
        <is>
          <t>Investments</t>
        </is>
      </c>
      <c r="C150" s="2" t="inlineStr">
        <is>
          <t>Technology &amp; AI</t>
        </is>
      </c>
      <c r="D150" s="2" t="inlineStr">
        <is>
          <t>United States</t>
        </is>
      </c>
      <c r="E150" s="2" t="inlineStr">
        <is>
          <t>Target-date fund assets near $5 trillion as providers add guaranteed income and private markets</t>
        </is>
      </c>
      <c r="F150" s="2" t="inlineStr">
        <is>
          <t>Target-date fund assets rose more than 20% to roughly $4.8 trillion, according to Morningstar-based analysis, as providers increasingly blend active and passive strategies, embed lifetime-income features, and add private-market exposure to plan defaults.</t>
        </is>
      </c>
      <c r="G150" s="2" t="inlineStr">
        <is>
          <t>Great Gray Trust Company</t>
        </is>
      </c>
      <c r="H150" s="2" t="inlineStr">
        <is>
          <t>https://greatgray.com/innovation-in-target-date-funds-2026/</t>
        </is>
      </c>
      <c r="I150" s="2" t="inlineStr">
        <is>
          <t>2026-08-15</t>
        </is>
      </c>
    </row>
    <row r="151">
      <c r="A151" s="2" t="inlineStr">
        <is>
          <t>2026-09-06</t>
        </is>
      </c>
      <c r="B151" s="2" t="inlineStr">
        <is>
          <t>Insurtech</t>
        </is>
      </c>
      <c r="C151" s="2" t="inlineStr">
        <is>
          <t>M&amp;A</t>
        </is>
      </c>
      <c r="D151" s="2" t="inlineStr">
        <is>
          <t>APAC</t>
        </is>
      </c>
      <c r="E151" s="2" t="inlineStr">
        <is>
          <t>Singapore digital insurer KoverNow secures Hong Kong license and launches local app</t>
        </is>
      </c>
      <c r="F151" s="2" t="inlineStr">
        <is>
          <t>KoverNow, a Singapore-headquartered digital insurer specializing in luxury-goods coverage, obtained an insurance intermediary license from Hong Kong's Insurance Authority and launched its mobile app in the market.</t>
        </is>
      </c>
      <c r="G151" s="2" t="inlineStr">
        <is>
          <t>KoverNow</t>
        </is>
      </c>
      <c r="H151" s="2" t="inlineStr">
        <is>
          <t>https://kovernow.com/kovernow-secures-insurance-intermediary-license-in-hong-kong-and-officially-launches-local-app/</t>
        </is>
      </c>
      <c r="I151" s="2" t="inlineStr">
        <is>
          <t>2026-08-15</t>
        </is>
      </c>
    </row>
    <row r="152">
      <c r="A152" s="2" t="inlineStr">
        <is>
          <t>2026-09-06</t>
        </is>
      </c>
      <c r="B152" s="2" t="inlineStr">
        <is>
          <t>Healthcare / Provider &amp; Clinical</t>
        </is>
      </c>
      <c r="C152" s="2" t="inlineStr">
        <is>
          <t>Market Economics</t>
        </is>
      </c>
      <c r="D152" s="2" t="inlineStr">
        <is>
          <t>United States</t>
        </is>
      </c>
      <c r="E152" s="2" t="inlineStr">
        <is>
          <t>Hospital operating margins keep compressing in 2026 despite double-digit revenue growth</t>
        </is>
      </c>
      <c r="F152" s="2" t="inlineStr">
        <is>
          <t>HFMA data shows the median health-system operating margin has fallen to a 0.4% year-to-date level in 2026 as labor, drug and supply cost growth outpace revenue gains, even though gross operating revenue rose over 11% year-over-year.</t>
        </is>
      </c>
      <c r="G152" s="2" t="inlineStr">
        <is>
          <t>HFMA</t>
        </is>
      </c>
      <c r="H152" s="2" t="inlineStr">
        <is>
          <t>https://www.hfma.org/operations-management/hospital-operating-margin-trends-2026/</t>
        </is>
      </c>
      <c r="I152" s="2" t="inlineStr">
        <is>
          <t>2026-08-15</t>
        </is>
      </c>
    </row>
    <row r="153">
      <c r="A153" s="2" t="inlineStr">
        <is>
          <t>2026-08-19</t>
        </is>
      </c>
      <c r="B153" s="2" t="inlineStr">
        <is>
          <t>Healthcare / Provider &amp; Clinical</t>
        </is>
      </c>
      <c r="C153" s="2" t="inlineStr">
        <is>
          <t>Technology &amp; AI</t>
        </is>
      </c>
      <c r="D153" s="2" t="inlineStr">
        <is>
          <t>United States</t>
        </is>
      </c>
      <c r="E153" s="2" t="inlineStr">
        <is>
          <t>Only 7% of health systems have dedicated software to manage prior authorizations, survey finds</t>
        </is>
      </c>
      <c r="F153" s="2" t="inlineStr">
        <is>
          <t>A survey highlighted in Healthcare IT Today found just 7% of provider organizations have dedicated software for managing prior authorizations, even as AI tools like Microsoft's Dragon Copilot cut clinical documentation time by double digits at systems including Intermountain Health.</t>
        </is>
      </c>
      <c r="G153" s="2" t="inlineStr">
        <is>
          <t>Healthcare IT Today</t>
        </is>
      </c>
      <c r="H153" s="2" t="inlineStr">
        <is>
          <t>https://www.healthcareittoday.com/2026/08/16/bonus-features-august-16-2026-only-7-of-orgs-have-dedicated-software-to-manage-prior-authorizations-gemini-users-can-now-book-appointments-with-zocdoc-plus-27-more-stories/</t>
        </is>
      </c>
      <c r="I153" s="2" t="inlineStr">
        <is>
          <t>2026-08-16</t>
        </is>
      </c>
    </row>
    <row r="154">
      <c r="A154" s="2" t="inlineStr">
        <is>
          <t>2026-08-25</t>
        </is>
      </c>
      <c r="B154" s="2" t="inlineStr">
        <is>
          <t>Health Insurance / Payer</t>
        </is>
      </c>
      <c r="C154" s="2" t="inlineStr">
        <is>
          <t>Technology &amp; AI</t>
        </is>
      </c>
      <c r="D154" s="2" t="inlineStr">
        <is>
          <t>India</t>
        </is>
      </c>
      <c r="E154" s="2" t="inlineStr">
        <is>
          <t>India's insurers pivot toward prevention and AI-driven coverage design</t>
        </is>
      </c>
      <c r="F154" s="2" t="inlineStr">
        <is>
          <t>Indian health insurers are reorienting products around preventive care and wellness, using AI and automation to speed claims and build more personalized, digital-first coverage as medical costs climb.</t>
        </is>
      </c>
      <c r="G154" s="2" t="inlineStr">
        <is>
          <t>Whalesbook</t>
        </is>
      </c>
      <c r="H154" s="2" t="inlineStr">
        <is>
          <t>https://www.whalesbook.com/news/English/other/Indias-Insurance-Shake-up-2026-to-See-Prevention-and-AI-Redefine-Your-Coverage/695258034342f77179dc973e</t>
        </is>
      </c>
      <c r="I154" s="2" t="inlineStr">
        <is>
          <t>2026-08-16</t>
        </is>
      </c>
    </row>
    <row r="155">
      <c r="A155" s="2" t="inlineStr">
        <is>
          <t>2026-08-18</t>
        </is>
      </c>
      <c r="B155" s="2" t="inlineStr">
        <is>
          <t>FinTech</t>
        </is>
      </c>
      <c r="C155" s="2" t="inlineStr">
        <is>
          <t>Investments &amp; Funding</t>
        </is>
      </c>
      <c r="D155" s="2" t="inlineStr">
        <is>
          <t>India</t>
        </is>
      </c>
      <c r="E155" s="2" t="inlineStr">
        <is>
          <t>India's Centricity Banks $33M to Scale Wealth Distribution Platform</t>
        </is>
      </c>
      <c r="F155" s="2" t="inlineStr">
        <is>
          <t>Wealth-management fintech Centricity raised a $33 million round led by SMBC's Asia Rising Fund, pushing its valuation to about $216 million as it expands its B2B2C wealth distribution business, private wealth arm and NRI-focused offerings.</t>
        </is>
      </c>
      <c r="G155" s="2" t="inlineStr">
        <is>
          <t>FinTech Global</t>
        </is>
      </c>
      <c r="H155" s="2" t="inlineStr">
        <is>
          <t>https://fintech.global/2026/08/17/centricity-secures-33m-to-grow-wealth-platform/</t>
        </is>
      </c>
      <c r="I155" s="2" t="inlineStr">
        <is>
          <t>2026-08-17</t>
        </is>
      </c>
    </row>
    <row r="156">
      <c r="A156" s="2" t="inlineStr">
        <is>
          <t>2026-08-18</t>
        </is>
      </c>
      <c r="B156" s="2" t="inlineStr">
        <is>
          <t>Health Insurance / Payer</t>
        </is>
      </c>
      <c r="C156" s="2" t="inlineStr">
        <is>
          <t>People &amp; Leadership</t>
        </is>
      </c>
      <c r="D156" s="2" t="inlineStr">
        <is>
          <t>United States</t>
        </is>
      </c>
      <c r="E156" s="2" t="inlineStr">
        <is>
          <t>CVS Health refreshes its board, adding a JPMorgan data chief as a director departs</t>
        </is>
      </c>
      <c r="F156" s="2" t="inlineStr">
        <is>
          <t>CVS Health said it will add JPMorgan Chase's chief data and analytics officer, Teresa Heitsenrether, to its board this fall, shortly after another director resigned from the board without citing any disagreement with the company.</t>
        </is>
      </c>
      <c r="G156" s="2" t="inlineStr">
        <is>
          <t>CVS Health / PR Newswire</t>
        </is>
      </c>
      <c r="H156" s="2" t="inlineStr">
        <is>
          <t>http://www.prnewswire.com/news-releases/cvs-health-announces-board-changes-302853151.html</t>
        </is>
      </c>
      <c r="I156" s="2" t="inlineStr">
        <is>
          <t>2026-08-17</t>
        </is>
      </c>
    </row>
    <row r="157">
      <c r="A157" s="2" t="inlineStr">
        <is>
          <t>2026-08-18</t>
        </is>
      </c>
      <c r="B157" s="2" t="inlineStr">
        <is>
          <t>Healthcare / Provider &amp; Clinical</t>
        </is>
      </c>
      <c r="C157" s="2" t="inlineStr">
        <is>
          <t>Investments &amp; Funding</t>
        </is>
      </c>
      <c r="D157" s="2" t="inlineStr">
        <is>
          <t>United States</t>
        </is>
      </c>
      <c r="E157" s="2" t="inlineStr">
        <is>
          <t>Private equity's buying spree of doctor practices cools sharply</t>
        </is>
      </c>
      <c r="F157" s="2" t="inlineStr">
        <is>
          <t>PitchBook data show private-equity acquisitions of physician practices on pace to roughly halve in 2026 versus 2025, down from a 2021 peak of 851 deals to about 105 in the first half of the year, as more than a dozen states tighten oversight of such transactions.</t>
        </is>
      </c>
      <c r="G157" s="2" t="inlineStr">
        <is>
          <t>STAT News</t>
        </is>
      </c>
      <c r="H157" s="2" t="inlineStr">
        <is>
          <t>https://www.statnews.com/2026/08/17/private-equity-50-percent-drop-physician-practice-management-deals-2026/</t>
        </is>
      </c>
      <c r="I157" s="2" t="inlineStr">
        <is>
          <t>2026-08-17</t>
        </is>
      </c>
    </row>
    <row r="158">
      <c r="A158" s="2" t="inlineStr">
        <is>
          <t>2026-08-19</t>
        </is>
      </c>
      <c r="B158" s="2" t="inlineStr">
        <is>
          <t>Brokers &amp; MGA/GA</t>
        </is>
      </c>
      <c r="C158" s="2" t="inlineStr">
        <is>
          <t>Market Economics</t>
        </is>
      </c>
      <c r="D158" s="2" t="inlineStr">
        <is>
          <t>UK/Europe</t>
        </is>
      </c>
      <c r="E158" s="2" t="inlineStr">
        <is>
          <t>Specialist MGAs plug capacity gaps as broker confidence in placing complex risks climbs</t>
        </is>
      </c>
      <c r="F158" s="2" t="inlineStr">
        <is>
          <t>Nearly four in ten brokers surveyed say their confidence in placing specialist commercial motor risks with MGAs is much higher than a year ago, as managing general agents step in to fill capacity gaps left by traditional carriers.</t>
        </is>
      </c>
      <c r="G158" s="2" t="inlineStr">
        <is>
          <t>Insurance-Edge</t>
        </is>
      </c>
      <c r="H158" s="2" t="inlineStr">
        <is>
          <t>https://insurance-edge.net/2026/08/17/specialist-mgas-are-plugging-gaps-on-capacity-says-dcl/</t>
        </is>
      </c>
      <c r="I158" s="2" t="inlineStr">
        <is>
          <t>2026-08-17</t>
        </is>
      </c>
    </row>
    <row r="159">
      <c r="A159" s="2" t="inlineStr">
        <is>
          <t>2026-08-19</t>
        </is>
      </c>
      <c r="B159" s="2" t="inlineStr">
        <is>
          <t>Insurtech</t>
        </is>
      </c>
      <c r="C159" s="2" t="inlineStr">
        <is>
          <t>Technology &amp; AI</t>
        </is>
      </c>
      <c r="D159" s="2" t="inlineStr">
        <is>
          <t>United States</t>
        </is>
      </c>
      <c r="E159" s="2" t="inlineStr">
        <is>
          <t>Bolt launches industry's first AI-powered insurance distribution platform spanning admitted, E&amp;S and wholesale</t>
        </is>
      </c>
      <c r="F159" s="2" t="inlineStr">
        <is>
          <t>Insurtech Bolt introduced Connected Distribution, an AI-driven platform unifying customer data, quoting, binding and servicing workflows for agencies, brokerages and carriers across all distribution channels.</t>
        </is>
      </c>
      <c r="G159" s="2" t="inlineStr">
        <is>
          <t>Insurance Journal</t>
        </is>
      </c>
      <c r="H159" s="2" t="inlineStr">
        <is>
          <t>https://www.insurancejournal.com/news/west/2026/08/17/881527.htm</t>
        </is>
      </c>
      <c r="I159" s="2" t="inlineStr">
        <is>
          <t>2026-08-17</t>
        </is>
      </c>
    </row>
    <row r="160">
      <c r="A160" s="2" t="inlineStr">
        <is>
          <t>2026-08-20</t>
        </is>
      </c>
      <c r="B160" s="2" t="inlineStr">
        <is>
          <t>Investments</t>
        </is>
      </c>
      <c r="C160" s="2" t="inlineStr">
        <is>
          <t>M&amp;A</t>
        </is>
      </c>
      <c r="D160" s="2" t="inlineStr">
        <is>
          <t>Global</t>
        </is>
      </c>
      <c r="E160" s="2" t="inlineStr">
        <is>
          <t>Private credit consolidation gathers pace as asset managers race to scale platforms</t>
        </is>
      </c>
      <c r="F160" s="2" t="inlineStr">
        <is>
          <t>Dealmaking among private credit managers has accelerated through 2026, with firms pursuing mergers to build scale and breadth even as skeptics raise concerns about underwriting standards across the fast-growing asset class.</t>
        </is>
      </c>
      <c r="G160" s="2" t="inlineStr">
        <is>
          <t>Alternative Credit Investor</t>
        </is>
      </c>
      <c r="H160" s="2" t="inlineStr">
        <is>
          <t>https://alternativecreditinvestor.com/2026/08/17/private-credit-consolidation-gathers-pace-in-2026/</t>
        </is>
      </c>
      <c r="I160" s="2" t="inlineStr">
        <is>
          <t>2026-08-17</t>
        </is>
      </c>
    </row>
    <row r="161">
      <c r="A161" s="2" t="inlineStr">
        <is>
          <t>2026-08-20</t>
        </is>
      </c>
      <c r="B161" s="2" t="inlineStr">
        <is>
          <t>Property &amp; Casualty</t>
        </is>
      </c>
      <c r="C161" s="2" t="inlineStr">
        <is>
          <t>People &amp; Leadership</t>
        </is>
      </c>
      <c r="D161" s="2" t="inlineStr">
        <is>
          <t>Global</t>
        </is>
      </c>
      <c r="E161" s="2" t="inlineStr">
        <is>
          <t>Guy Carpenter names global property and casualty leaders in newly created roles</t>
        </is>
      </c>
      <c r="F161" s="2" t="inlineStr">
        <is>
          <t>Guy Carpenter appointed David Duffy as global property leader and Chris Ross as global casualty leader, two newly created roles meant to mobilize the reinsurance broker's best practices for clients across the property-casualty market.</t>
        </is>
      </c>
      <c r="G161" s="2" t="inlineStr">
        <is>
          <t>Reinsurance News</t>
        </is>
      </c>
      <c r="H161" s="2" t="inlineStr">
        <is>
          <t>https://www.reinsurancene.ws/guy-carpenter-appoints-duffy-and-ross-to-lead-global-property-and-casualty/</t>
        </is>
      </c>
      <c r="I161" s="2" t="inlineStr">
        <is>
          <t>2026-08-17</t>
        </is>
      </c>
    </row>
    <row r="162">
      <c r="A162" s="2" t="inlineStr">
        <is>
          <t>2026-08-22</t>
        </is>
      </c>
      <c r="B162" s="2" t="inlineStr">
        <is>
          <t>BrokerTech</t>
        </is>
      </c>
      <c r="C162" s="2" t="inlineStr">
        <is>
          <t>M&amp;A</t>
        </is>
      </c>
      <c r="D162" s="2" t="inlineStr">
        <is>
          <t>United States</t>
        </is>
      </c>
      <c r="E162" s="2" t="inlineStr">
        <is>
          <t>Insurance broker deal-making slows to its weakest half-year pace in a decade</t>
        </is>
      </c>
      <c r="F162" s="2" t="inlineStr">
        <is>
          <t>OPTIS Partners found that insurance agency and brokerage M&amp;A activity fell 15% in the first half of 2026 versus a year earlier, with just 292 deals recorded, the slowest start to a year since 2016, even as private equity buyers still accounted for more than half of all acquirers.</t>
        </is>
      </c>
      <c r="G162" s="2" t="inlineStr">
        <is>
          <t>Insurance Journal</t>
        </is>
      </c>
      <c r="H162" s="2" t="inlineStr">
        <is>
          <t>https://www.insurancejournal.com/magazines/mag-features/2026/08/17/881415.htm</t>
        </is>
      </c>
      <c r="I162" s="2" t="inlineStr">
        <is>
          <t>2026-08-17</t>
        </is>
      </c>
    </row>
    <row r="163">
      <c r="A163" s="2" t="inlineStr">
        <is>
          <t>2026-08-22</t>
        </is>
      </c>
      <c r="B163" s="2" t="inlineStr">
        <is>
          <t>Health Insurance / Payer</t>
        </is>
      </c>
      <c r="C163" s="2" t="inlineStr">
        <is>
          <t>People &amp; Leadership</t>
        </is>
      </c>
      <c r="D163" s="2" t="inlineStr">
        <is>
          <t>United States</t>
        </is>
      </c>
      <c r="E163" s="2" t="inlineStr">
        <is>
          <t>Centene's finance chief to exit as insurer manages ACA turbulence</t>
        </is>
      </c>
      <c r="F163" s="2" t="inlineStr">
        <is>
          <t>Centene said its longtime CFO will step down, with a successor named to take over as the Medicaid- and ACA-focused insurer works through subsidy expiration and enrollment declines affecting the marketplace business.</t>
        </is>
      </c>
      <c r="G163" s="2" t="inlineStr">
        <is>
          <t>Forbes</t>
        </is>
      </c>
      <c r="H163" s="2" t="inlineStr">
        <is>
          <t>https://www.forbes.com/sites/brucejapsen/2026/08/17/health-insurer-centenes-chief-financial-officer-to-step-down/</t>
        </is>
      </c>
      <c r="I163" s="2" t="inlineStr">
        <is>
          <t>2026-08-17</t>
        </is>
      </c>
    </row>
    <row r="164">
      <c r="A164" s="2" t="inlineStr">
        <is>
          <t>2026-08-22</t>
        </is>
      </c>
      <c r="B164" s="2" t="inlineStr">
        <is>
          <t>Healthcare / Provider &amp; Clinical</t>
        </is>
      </c>
      <c r="C164" s="2" t="inlineStr">
        <is>
          <t>Regulatory &amp; Policy</t>
        </is>
      </c>
      <c r="D164" s="2" t="inlineStr">
        <is>
          <t>UK/Europe</t>
        </is>
      </c>
      <c r="E164" s="2" t="inlineStr">
        <is>
          <t>NHS opens flu jab bookings early to get ahead of winter pressures</t>
        </is>
      </c>
      <c r="F164" s="2" t="inlineStr">
        <is>
          <t>The NHS began urging eligible groups, including pregnant women and children, to pre-book flu vaccinations from August 17 for a September 1 start, moving earlier than usual after a summer of record emergency demand.</t>
        </is>
      </c>
      <c r="G164" s="2" t="inlineStr">
        <is>
          <t>NHS England</t>
        </is>
      </c>
      <c r="H164" s="2" t="inlineStr">
        <is>
          <t>https://www.england.nhs.uk/2026/08/nhs-urges-those-eligible-to-book-a-flu-jab-ahead-of-this-winter-season/</t>
        </is>
      </c>
      <c r="I164" s="2" t="inlineStr">
        <is>
          <t>2026-08-17</t>
        </is>
      </c>
    </row>
    <row r="165">
      <c r="A165" s="2" t="inlineStr">
        <is>
          <t>2026-08-23</t>
        </is>
      </c>
      <c r="B165" s="2" t="inlineStr">
        <is>
          <t>Life &amp; Annuities</t>
        </is>
      </c>
      <c r="C165" s="2" t="inlineStr">
        <is>
          <t>M&amp;A</t>
        </is>
      </c>
      <c r="D165" s="2" t="inlineStr">
        <is>
          <t>UK/Europe</t>
        </is>
      </c>
      <c r="E165" s="2" t="inlineStr">
        <is>
          <t>Resolution Re books another UK pension risk transfer deal as it expands across Europe</t>
        </is>
      </c>
      <c r="F165" s="2" t="inlineStr">
        <is>
          <t>Reinsurer Resolution Re closed a fresh UK bulk annuity transaction, continuing to build out its footprint in the region as insurers compete for pension scheme risk-transfer business.</t>
        </is>
      </c>
      <c r="G165" s="2" t="inlineStr">
        <is>
          <t>Insurance Business Magazine (Reinsurance)</t>
        </is>
      </c>
      <c r="H165" s="2" t="inlineStr">
        <is>
          <t>https://www.insurancebusinessmag.com/reinsurance/news/breaking-news/resolution-re-books-uk-pension-risk-transfer-deal-amid-european-push-581651.aspx</t>
        </is>
      </c>
      <c r="I165" s="2" t="inlineStr">
        <is>
          <t>2026-08-17</t>
        </is>
      </c>
    </row>
    <row r="166">
      <c r="A166" s="2" t="inlineStr">
        <is>
          <t>2026-08-24</t>
        </is>
      </c>
      <c r="B166" s="2" t="inlineStr">
        <is>
          <t>Health Insurance / Payer</t>
        </is>
      </c>
      <c r="C166" s="2" t="inlineStr">
        <is>
          <t>Regulatory &amp; Policy</t>
        </is>
      </c>
      <c r="D166" s="2" t="inlineStr">
        <is>
          <t>United States</t>
        </is>
      </c>
      <c r="E166" s="2" t="inlineStr">
        <is>
          <t>Health Net's move to end an assisted-living benefit leaves thousands of Medi-Cal seniors scrambling</t>
        </is>
      </c>
      <c r="F166" s="2" t="inlineStr">
        <is>
          <t>Centene's Health Net told California regulators it will eliminate a CalAIM assisted-living support benefit for roughly 3,500 Medi-Cal members by year's end, citing rising costs, a decision advocates warn could leave some elderly residents without housing options.</t>
        </is>
      </c>
      <c r="G166" s="2" t="inlineStr">
        <is>
          <t>CalMatters</t>
        </is>
      </c>
      <c r="H166" s="2" t="inlineStr">
        <is>
          <t>https://calmatters.org/health/2026/08/assisted-living-healthnet-coverage/</t>
        </is>
      </c>
      <c r="I166" s="2" t="inlineStr">
        <is>
          <t>2026-08-17</t>
        </is>
      </c>
    </row>
    <row r="167">
      <c r="A167" s="2" t="inlineStr">
        <is>
          <t>2026-08-24</t>
        </is>
      </c>
      <c r="B167" s="2" t="inlineStr">
        <is>
          <t>Healthcare / Provider &amp; Clinical</t>
        </is>
      </c>
      <c r="C167" s="2" t="inlineStr">
        <is>
          <t>Regulatory &amp; Policy</t>
        </is>
      </c>
      <c r="D167" s="2" t="inlineStr">
        <is>
          <t>United States</t>
        </is>
      </c>
      <c r="E167" s="2" t="inlineStr">
        <is>
          <t>Atrium Health-WakeMed merger draws public pushback at Raleigh hearing</t>
        </is>
      </c>
      <c r="F167" s="2" t="inlineStr">
        <is>
          <t>A public hearing on the proposed Atrium Health-WakeMed combination drew mixed reaction in Raleigh, with some speakers welcoming the deal's promised $2 billion investment and others criticizing it as a takeover of the community-owned system.</t>
        </is>
      </c>
      <c r="G167" s="2" t="inlineStr">
        <is>
          <t>Chief Healthcare Executive</t>
        </is>
      </c>
      <c r="H167" s="2" t="inlineStr">
        <is>
          <t>https://www.chiefhealthcareexecutive.com/view/wakemed-health-atrium-health-plan-merger-and-face-criticism</t>
        </is>
      </c>
      <c r="I167" s="2" t="inlineStr">
        <is>
          <t>2026-08-17</t>
        </is>
      </c>
    </row>
    <row r="168">
      <c r="A168" s="2" t="inlineStr">
        <is>
          <t>2026-08-25</t>
        </is>
      </c>
      <c r="B168" s="2" t="inlineStr">
        <is>
          <t>Wealth Management</t>
        </is>
      </c>
      <c r="C168" s="2" t="inlineStr">
        <is>
          <t>People &amp; Leadership</t>
        </is>
      </c>
      <c r="D168" s="2" t="inlineStr">
        <is>
          <t>United States</t>
        </is>
      </c>
      <c r="E168" s="2" t="inlineStr">
        <is>
          <t>AE Wealth Management names Shannon Larson president in push toward $250B goal</t>
        </is>
      </c>
      <c r="F168" s="2" t="inlineStr">
        <is>
          <t>AE Wealth Management appointed Shannon Larson as president, tasked with scaling its roughly $52 billion RIA network of 600 advisors toward a stated goal of $250 billion in assets by 2035 through organic growth and technology investment.</t>
        </is>
      </c>
      <c r="G168" s="2" t="inlineStr">
        <is>
          <t>WealthManagement.com</t>
        </is>
      </c>
      <c r="H168" s="2" t="inlineStr">
        <is>
          <t>https://www.wealthmanagement.com/ria-news/ae-wealth-management-eyes-250-billion-by-2035</t>
        </is>
      </c>
      <c r="I168" s="2" t="inlineStr">
        <is>
          <t>2026-08-17</t>
        </is>
      </c>
    </row>
    <row r="169">
      <c r="A169" s="2" t="inlineStr">
        <is>
          <t>2026-08-31</t>
        </is>
      </c>
      <c r="B169" s="2" t="inlineStr">
        <is>
          <t>Life &amp; Annuities</t>
        </is>
      </c>
      <c r="C169" s="2" t="inlineStr">
        <is>
          <t>M&amp;A</t>
        </is>
      </c>
      <c r="D169" s="2" t="inlineStr">
        <is>
          <t>United States</t>
        </is>
      </c>
      <c r="E169" s="2" t="inlineStr">
        <is>
          <t>Corebridge Financial and Equitable Holdings name leadership team as $22 billion merger advances</t>
        </is>
      </c>
      <c r="F169" s="2" t="inlineStr">
        <is>
          <t>The two insurers announced the executive team that will run the combined retirement, life, wealth and asset management company after shareholders of both firms approved the all-stock deal in late July.</t>
        </is>
      </c>
      <c r="G169" s="2" t="inlineStr">
        <is>
          <t>Corebridge Financial</t>
        </is>
      </c>
      <c r="H169" s="2" t="inlineStr">
        <is>
          <t>https://investors.corebridgefinancial.com/news/news-details/2026/Corebridge-Financial-and-Equitable-Holdings-Announce-Leadership-Team-for-Combined-Company/default.aspx</t>
        </is>
      </c>
      <c r="I169" s="2" t="inlineStr">
        <is>
          <t>2026-08-17</t>
        </is>
      </c>
    </row>
    <row r="170">
      <c r="A170" s="2" t="inlineStr">
        <is>
          <t>2026-08-31</t>
        </is>
      </c>
      <c r="B170" s="2" t="inlineStr">
        <is>
          <t>Wealth Management</t>
        </is>
      </c>
      <c r="C170" s="2" t="inlineStr">
        <is>
          <t>M&amp;A</t>
        </is>
      </c>
      <c r="D170" s="2" t="inlineStr">
        <is>
          <t>United States</t>
        </is>
      </c>
      <c r="E170" s="2" t="inlineStr">
        <is>
          <t>MAI Capital enters Atlanta market with $490 million Waypoint Wealth Counsel acquisition</t>
        </is>
      </c>
      <c r="F170" s="2" t="inlineStr">
        <is>
          <t>The Cleveland-based RIA, backed by a recent Carlyle investment, added the fee-only Atlanta firm and its more than 100 households, giving Waypoint's founders access to MAI's family-office platform, lending and alternative-investment sourcing.</t>
        </is>
      </c>
      <c r="G170" s="2" t="inlineStr">
        <is>
          <t>Business Wire</t>
        </is>
      </c>
      <c r="H170" s="2" t="inlineStr">
        <is>
          <t>https://www.businesswire.com/news/home/20260817051116/en/MAI-Capital-Management-Expands-Into-Atlanta-Market-Through-Acquisition-of-Waypoint-Wealth-Counsel</t>
        </is>
      </c>
      <c r="I170" s="2" t="inlineStr">
        <is>
          <t>2026-08-17</t>
        </is>
      </c>
    </row>
    <row r="171">
      <c r="A171" s="2" t="inlineStr">
        <is>
          <t>2026-09-05</t>
        </is>
      </c>
      <c r="B171" s="2" t="inlineStr">
        <is>
          <t>Life &amp; Annuities</t>
        </is>
      </c>
      <c r="C171" s="2" t="inlineStr">
        <is>
          <t>Market Economics</t>
        </is>
      </c>
      <c r="D171" s="2" t="inlineStr">
        <is>
          <t>United States</t>
        </is>
      </c>
      <c r="E171" s="2" t="inlineStr">
        <is>
          <t>US individual life insurance sales grow 3% in Q2 2026 as variable universal life leads</t>
        </is>
      </c>
      <c r="F171" s="2" t="inlineStr">
        <is>
          <t>Individual life insurance new annualized premium rose 3% year-over-year in the second quarter of 2026, with variable universal life posting the sharpest growth (up 11% to $800 million) and simplified-issue and final-expense products seeing double-digit policy-count growth among lower- and middle-income buyers.</t>
        </is>
      </c>
      <c r="G171" s="2" t="inlineStr">
        <is>
          <t>IA Magazine</t>
        </is>
      </c>
      <c r="H171" s="2" t="inlineStr">
        <is>
          <t>https://www.iamagazine.com/2026/08/17/how-record-setting-sales-and-innovation-are-fueling-life-insurance-growth/</t>
        </is>
      </c>
      <c r="I171" s="2" t="inlineStr">
        <is>
          <t>2026-08-17</t>
        </is>
      </c>
    </row>
    <row r="172">
      <c r="A172" s="2" t="inlineStr">
        <is>
          <t>2026-08-19</t>
        </is>
      </c>
      <c r="B172" s="2" t="inlineStr">
        <is>
          <t>Insurtech</t>
        </is>
      </c>
      <c r="C172" s="2" t="inlineStr">
        <is>
          <t>M&amp;A</t>
        </is>
      </c>
      <c r="D172" s="2" t="inlineStr">
        <is>
          <t>United States</t>
        </is>
      </c>
      <c r="E172" s="2" t="inlineStr">
        <is>
          <t>Munich Re to acquire cyber insurtech At-Bay for $575 million, folding it into HSB</t>
        </is>
      </c>
      <c r="F172" s="2" t="inlineStr">
        <is>
          <t>Munich Re agreed to buy US cyber insurtech At-Bay, the largest wholesale-channel writer of cyber insurance, for $575 million, placing it within its Hartford Steam Boiler specialty subsidiary to strengthen its cyber risk and proactive-security offering.</t>
        </is>
      </c>
      <c r="G172" s="2" t="inlineStr">
        <is>
          <t>Reinsurance News</t>
        </is>
      </c>
      <c r="H172" s="2" t="inlineStr">
        <is>
          <t>https://www.reinsurancene.ws/munich-re-agrees-to-acquire-cyber-insurtech-at-bay-in-575m-deal/</t>
        </is>
      </c>
      <c r="I172" s="2" t="inlineStr">
        <is>
          <t>2026-08-18</t>
        </is>
      </c>
    </row>
    <row r="173">
      <c r="A173" s="2" t="inlineStr">
        <is>
          <t>2026-08-21</t>
        </is>
      </c>
      <c r="B173" s="2" t="inlineStr">
        <is>
          <t>Brokers &amp; MGA/GA</t>
        </is>
      </c>
      <c r="C173" s="2" t="inlineStr">
        <is>
          <t>M&amp;A</t>
        </is>
      </c>
      <c r="D173" s="2" t="inlineStr">
        <is>
          <t>United States</t>
        </is>
      </c>
      <c r="E173" s="2" t="inlineStr">
        <is>
          <t>Willis Re to acquire BMS Group's U.S. reinsurance division</t>
        </is>
      </c>
      <c r="F173" s="2" t="inlineStr">
        <is>
          <t>Willis Re agreed to buy BMS Re US, including its reinsurance broking and capital advisory teams, giving the WTW/Bain Capital-backed reinsurance broker an operational presence in the world's largest insurance market.</t>
        </is>
      </c>
      <c r="G173" s="2" t="inlineStr">
        <is>
          <t>Insurance Journal</t>
        </is>
      </c>
      <c r="H173" s="2" t="inlineStr">
        <is>
          <t>https://www.insurancejournal.com/news/national/2026/08/19/882135.htm</t>
        </is>
      </c>
      <c r="I173" s="2" t="inlineStr">
        <is>
          <t>2026-08-18</t>
        </is>
      </c>
    </row>
    <row r="174">
      <c r="A174" s="2" t="inlineStr">
        <is>
          <t>2026-08-22</t>
        </is>
      </c>
      <c r="B174" s="2" t="inlineStr">
        <is>
          <t>FinTech</t>
        </is>
      </c>
      <c r="C174" s="2" t="inlineStr">
        <is>
          <t>Market Economics</t>
        </is>
      </c>
      <c r="D174" s="2" t="inlineStr">
        <is>
          <t>Global</t>
        </is>
      </c>
      <c r="E174" s="2" t="inlineStr">
        <is>
          <t>Geopolitical shocks and AI adoption are squeezing how insurers price risk</t>
        </is>
      </c>
      <c r="F174" s="2" t="inlineStr">
        <is>
          <t>Global economic and geopolitical volatility, combined with six straight years of catastrophe losses topping $100 billion, is forcing insurers to rethink commercial-line pricing models as new exposures and data sources upend established underwriting assumptions.</t>
        </is>
      </c>
      <c r="G174" s="2" t="inlineStr">
        <is>
          <t>FinTech Global</t>
        </is>
      </c>
      <c r="H174" s="2" t="inlineStr">
        <is>
          <t>https://fintech.global/2026/08/18/ai-and-global-shocks-put-pressure-on-insurance-pricing/</t>
        </is>
      </c>
      <c r="I174" s="2" t="inlineStr">
        <is>
          <t>2026-08-18</t>
        </is>
      </c>
    </row>
    <row r="175">
      <c r="A175" s="2" t="inlineStr">
        <is>
          <t>2026-08-22</t>
        </is>
      </c>
      <c r="B175" s="2" t="inlineStr">
        <is>
          <t>Health Insurance / Payer</t>
        </is>
      </c>
      <c r="C175" s="2" t="inlineStr">
        <is>
          <t>M&amp;A</t>
        </is>
      </c>
      <c r="D175" s="2" t="inlineStr">
        <is>
          <t>United States</t>
        </is>
      </c>
      <c r="E175" s="2" t="inlineStr">
        <is>
          <t>Costco makes first-ever move into Medicare with SCAN Health Plan partnership</t>
        </is>
      </c>
      <c r="F175" s="2" t="inlineStr">
        <is>
          <t>Costco Wholesale and nonprofit insurer SCAN Group unveiled a partnership to sell co-branded Medicare Advantage plans in two states and a Medicare supplement plan in a third, pending regulatory approval, marking the retailer's debut in the senior health plan market.</t>
        </is>
      </c>
      <c r="G175" s="2" t="inlineStr">
        <is>
          <t>Yahoo Finance</t>
        </is>
      </c>
      <c r="H175" s="2" t="inlineStr">
        <is>
          <t>https://finance.yahoo.com/healthcare/articles/costco-launching-medicare-advantage-plans-171035001.html</t>
        </is>
      </c>
      <c r="I175" s="2" t="inlineStr">
        <is>
          <t>2026-08-18</t>
        </is>
      </c>
    </row>
    <row r="176">
      <c r="A176" s="2" t="inlineStr">
        <is>
          <t>2026-08-22</t>
        </is>
      </c>
      <c r="B176" s="2" t="inlineStr">
        <is>
          <t>Health Insurance / Payer</t>
        </is>
      </c>
      <c r="C176" s="2" t="inlineStr">
        <is>
          <t>Market Economics</t>
        </is>
      </c>
      <c r="D176" s="2" t="inlineStr">
        <is>
          <t>United States</t>
        </is>
      </c>
      <c r="E176" s="2" t="inlineStr">
        <is>
          <t>Medicare Advantage member satisfaction hits new low, J.D. Power finds</t>
        </is>
      </c>
      <c r="F176" s="2" t="inlineStr">
        <is>
          <t>J.D. Power's 2026 Medicare Advantage study shows overall member satisfaction fell 12 points on its 1,000-point scale, a 41-point drop from 2024, with fewer than half of members saying they trust their plan.</t>
        </is>
      </c>
      <c r="G176" s="2" t="inlineStr">
        <is>
          <t>J.D. Power</t>
        </is>
      </c>
      <c r="H176" s="2" t="inlineStr">
        <is>
          <t>https://www.jdpower.com/business/press-releases/2026-u-s-medicare-advantage-study</t>
        </is>
      </c>
      <c r="I176" s="2" t="inlineStr">
        <is>
          <t>2026-08-18</t>
        </is>
      </c>
    </row>
    <row r="177">
      <c r="A177" s="2" t="inlineStr">
        <is>
          <t>2026-08-22</t>
        </is>
      </c>
      <c r="B177" s="2" t="inlineStr">
        <is>
          <t>Life &amp; Annuities</t>
        </is>
      </c>
      <c r="C177" s="2" t="inlineStr">
        <is>
          <t>Regulatory &amp; Policy</t>
        </is>
      </c>
      <c r="D177" s="2" t="inlineStr">
        <is>
          <t>United States</t>
        </is>
      </c>
      <c r="E177" s="2" t="inlineStr">
        <is>
          <t>Delaware Life and Clear Spring probed over $17 billion in reclassified related-party investments</t>
        </is>
      </c>
      <c r="F177" s="2" t="inlineStr">
        <is>
          <t>Federal prosecutors and the SEC are examining whether the two Group 1001 insurers, controlled by Dodgers/Lakers owner Mark Walter, properly disclosed that roughly 39% of their invested assets -- about $17 billion -- were tied to Walter-affiliated companies rather than the 3% originally reported to regulators.</t>
        </is>
      </c>
      <c r="G177" s="2" t="inlineStr">
        <is>
          <t>InvestmentNews</t>
        </is>
      </c>
      <c r="H177" s="2" t="inlineStr">
        <is>
          <t>https://www.investmentnews.com/life-insurance-and-annuities/lakers-sale-spotlights-delaware-lifes-17b-underreported-exposure/267817</t>
        </is>
      </c>
      <c r="I177" s="2" t="inlineStr">
        <is>
          <t>2026-08-18</t>
        </is>
      </c>
    </row>
    <row r="178">
      <c r="A178" s="2" t="inlineStr">
        <is>
          <t>2026-08-23</t>
        </is>
      </c>
      <c r="B178" s="2" t="inlineStr">
        <is>
          <t>BrokerTech</t>
        </is>
      </c>
      <c r="C178" s="2" t="inlineStr">
        <is>
          <t>M&amp;A</t>
        </is>
      </c>
      <c r="D178" s="2" t="inlineStr">
        <is>
          <t>United States</t>
        </is>
      </c>
      <c r="E178" s="2" t="inlineStr">
        <is>
          <t>Alliant moves to buy AI benefits platform Nava, betting on an AI-native advisory model</t>
        </is>
      </c>
      <c r="F178" s="2" t="inlineStr">
        <is>
          <t>Alliant Insurance Services agreed to acquire Nava Benefits, an AI-native employee-benefits platform whose HQ system unifies producers, service teams, HR and employees on one system, as large brokers race to bring AI engineering in-house.</t>
        </is>
      </c>
      <c r="G178" s="2" t="inlineStr">
        <is>
          <t>Insurance Business</t>
        </is>
      </c>
      <c r="H178" s="2" t="inlineStr">
        <is>
          <t>https://www.insurancebusinessmag.com/us/news/benefits/alliant-acquires-ai-benefits-platform-nava-in-tech-consolidation-push-586657.aspx</t>
        </is>
      </c>
      <c r="I178" s="2" t="inlineStr">
        <is>
          <t>2026-08-18</t>
        </is>
      </c>
    </row>
    <row r="179">
      <c r="A179" s="2" t="inlineStr">
        <is>
          <t>2026-08-23</t>
        </is>
      </c>
      <c r="B179" s="2" t="inlineStr">
        <is>
          <t>Brokers &amp; MGA/GA</t>
        </is>
      </c>
      <c r="C179" s="2" t="inlineStr">
        <is>
          <t>M&amp;A</t>
        </is>
      </c>
      <c r="D179" s="2" t="inlineStr">
        <is>
          <t>Global</t>
        </is>
      </c>
      <c r="E179" s="2" t="inlineStr">
        <is>
          <t>Thoma Bravo to Take Specialty Insurer Accelerant Private in $4 Billion-Plus Deal</t>
        </is>
      </c>
      <c r="F179" s="2" t="inlineStr">
        <is>
          <t>Private equity firm Thoma Bravo agreed to acquire specialty insurance platform Accelerant Holdings in an all-cash take-private deal valuing the company at more than $4 billion, at a 49% premium to its prior closing share price.</t>
        </is>
      </c>
      <c r="G179" s="2" t="inlineStr">
        <is>
          <t>fintech.global</t>
        </is>
      </c>
      <c r="H179" s="2" t="inlineStr">
        <is>
          <t>https://fintech.global/2026/08/18/accelerant-to-go-private-in-4bn-thoma-bravo-deal/</t>
        </is>
      </c>
      <c r="I179" s="2" t="inlineStr">
        <is>
          <t>2026-08-18</t>
        </is>
      </c>
    </row>
    <row r="180">
      <c r="A180" s="2" t="inlineStr">
        <is>
          <t>2026-08-23</t>
        </is>
      </c>
      <c r="B180" s="2" t="inlineStr">
        <is>
          <t>Insurtech</t>
        </is>
      </c>
      <c r="C180" s="2" t="inlineStr">
        <is>
          <t>People &amp; Leadership</t>
        </is>
      </c>
      <c r="D180" s="2" t="inlineStr">
        <is>
          <t>United States</t>
        </is>
      </c>
      <c r="E180" s="2" t="inlineStr">
        <is>
          <t>InsurTech Express Elevates Nichole Gaines to CEO as Founder Steps Back to Chairman</t>
        </is>
      </c>
      <c r="F180" s="2" t="inlineStr">
        <is>
          <t>InsurTech Express promoted Chief Revenue Officer Nichole Gaines to CEO and Ron Hensel to President, with founder Ken Leibow moving into an Executive Chairman role as the company enters a new growth phase.</t>
        </is>
      </c>
      <c r="G180" s="2" t="inlineStr">
        <is>
          <t>citybiz</t>
        </is>
      </c>
      <c r="H180" s="2" t="inlineStr">
        <is>
          <t>https://www.citybiz.co/article/891044/insurtech-express-names-nichole-gaines-ceo-and-ron-hensel-president/</t>
        </is>
      </c>
      <c r="I180" s="2" t="inlineStr">
        <is>
          <t>2026-08-18</t>
        </is>
      </c>
    </row>
    <row r="181">
      <c r="A181" s="2" t="inlineStr">
        <is>
          <t>2026-08-23</t>
        </is>
      </c>
      <c r="B181" s="2" t="inlineStr">
        <is>
          <t>Property &amp; Casualty</t>
        </is>
      </c>
      <c r="C181" s="2" t="inlineStr">
        <is>
          <t>M&amp;A</t>
        </is>
      </c>
      <c r="D181" s="2" t="inlineStr">
        <is>
          <t>Global</t>
        </is>
      </c>
      <c r="E181" s="2" t="inlineStr">
        <is>
          <t>Willis Re Agrees to Acquire BMS Re US in Reinsurance Broking Expansion</t>
        </is>
      </c>
      <c r="F181" s="2" t="inlineStr">
        <is>
          <t>Willis Re announced plans to acquire BMS Re US, a move aimed at accelerating its geographic growth in the U.S. reinsurance broking market.</t>
        </is>
      </c>
      <c r="G181" s="2" t="inlineStr">
        <is>
          <t>Reinsurance News</t>
        </is>
      </c>
      <c r="H181" s="2" t="inlineStr">
        <is>
          <t>https://www.reinsurancene.ws/</t>
        </is>
      </c>
      <c r="I181" s="2" t="inlineStr">
        <is>
          <t>2026-08-18</t>
        </is>
      </c>
    </row>
    <row r="182">
      <c r="A182" s="2" t="inlineStr">
        <is>
          <t>2026-08-26</t>
        </is>
      </c>
      <c r="B182" s="2" t="inlineStr">
        <is>
          <t>Healthcare / Provider &amp; Clinical</t>
        </is>
      </c>
      <c r="C182" s="2" t="inlineStr">
        <is>
          <t>Technology &amp; AI</t>
        </is>
      </c>
      <c r="D182" s="2" t="inlineStr">
        <is>
          <t>United States</t>
        </is>
      </c>
      <c r="E182" s="2" t="inlineStr">
        <is>
          <t>Northwell's $1.2 billion Epic rollout reaches next phase with Central Region go-live</t>
        </is>
      </c>
      <c r="F182" s="2" t="inlineStr">
        <is>
          <t>Northwell Health's phased effort to unify more than 30 legacy EHRs across 28 hospitals onto a single Epic platform continues, with its Central Region wave -- one of the largest go-lives in Epic's history -- covering more than $8 billion in revenue and 40,000 simultaneous users.</t>
        </is>
      </c>
      <c r="G182" s="2" t="inlineStr">
        <is>
          <t>Becker's Hospital Review</t>
        </is>
      </c>
      <c r="H182" s="2" t="inlineStr">
        <is>
          <t>https://www.beckershospitalreview.com/healthcare-information-technology/ehrs/how-northwells-1-2b-epic-rollout-is-pacing/</t>
        </is>
      </c>
      <c r="I182" s="2" t="inlineStr">
        <is>
          <t>2026-08-18</t>
        </is>
      </c>
    </row>
    <row r="183">
      <c r="A183" s="2" t="inlineStr">
        <is>
          <t>2026-08-28</t>
        </is>
      </c>
      <c r="B183" s="2" t="inlineStr">
        <is>
          <t>Property &amp; Casualty</t>
        </is>
      </c>
      <c r="C183" s="2" t="inlineStr">
        <is>
          <t>Market Economics</t>
        </is>
      </c>
      <c r="D183" s="2" t="inlineStr">
        <is>
          <t>Global</t>
        </is>
      </c>
      <c r="E183" s="2" t="inlineStr">
        <is>
          <t>Global P&amp;C reinsurers enter H2 2026 well capitalized but facing softer pricing</t>
        </is>
      </c>
      <c r="F183" s="2" t="inlineStr">
        <is>
          <t>Morningstar DBRS says record reinsurance capital chasing only modest demand growth is pushing property catastrophe rates lower, with further softening likely into 2027 absent a major loss event.</t>
        </is>
      </c>
      <c r="G183" s="2" t="inlineStr">
        <is>
          <t>Reinsurance News</t>
        </is>
      </c>
      <c r="H183" s="2" t="inlineStr">
        <is>
          <t>https://www.reinsurancene.ws/global-pc-reinsurers-head-into-h226-with-strong-capital-but-softer-pricing-morningstar-dbrs/</t>
        </is>
      </c>
      <c r="I183" s="2" t="inlineStr">
        <is>
          <t>2026-08-18</t>
        </is>
      </c>
    </row>
    <row r="184">
      <c r="A184" s="2" t="inlineStr">
        <is>
          <t>2026-08-29</t>
        </is>
      </c>
      <c r="B184" s="2" t="inlineStr">
        <is>
          <t>BrokerTech</t>
        </is>
      </c>
      <c r="C184" s="2" t="inlineStr">
        <is>
          <t>Technology &amp; AI</t>
        </is>
      </c>
      <c r="D184" s="2" t="inlineStr">
        <is>
          <t>United States</t>
        </is>
      </c>
      <c r="E184" s="2" t="inlineStr">
        <is>
          <t>The Brokerage Inc. becomes first Strategic-level partner in AgencyBloc's partner program</t>
        </is>
      </c>
      <c r="F184" s="2" t="inlineStr">
        <is>
          <t>The Brokerage, Inc. joined AgencyBloc's Partner Program as its first Strategic-level charter member, giving downline agencies preferred access to AgencyBloc's agency management technology for streamlining operations and automating commissions in health and life distribution.</t>
        </is>
      </c>
      <c r="G184" s="2" t="inlineStr">
        <is>
          <t>GlobeNewswire</t>
        </is>
      </c>
      <c r="H184" s="2" t="inlineStr">
        <is>
          <t>https://www.globenewswire.com/news-release/2026/08/18/3346788/0/en/the-brokerage-inc-joins-agencybloc-partner-program.html</t>
        </is>
      </c>
      <c r="I184" s="2" t="inlineStr">
        <is>
          <t>2026-08-18</t>
        </is>
      </c>
    </row>
    <row r="185">
      <c r="A185" s="2" t="inlineStr">
        <is>
          <t>2026-08-29</t>
        </is>
      </c>
      <c r="B185" s="2" t="inlineStr">
        <is>
          <t>Retirement</t>
        </is>
      </c>
      <c r="C185" s="2" t="inlineStr">
        <is>
          <t>M&amp;A</t>
        </is>
      </c>
      <c r="D185" s="2" t="inlineStr">
        <is>
          <t>United States</t>
        </is>
      </c>
      <c r="E185" s="2" t="inlineStr">
        <is>
          <t>Epic Retirement Solutions acquires recordkeeper Retirement Direct</t>
        </is>
      </c>
      <c r="F185" s="2" t="inlineStr">
        <is>
          <t>Retirement plan services firm Epic Retirement Solutions acquired recordkeeping provider Retirement Direct, adding to a wave of consolidation among smaller defined-contribution recordkeepers as fee pressure pushes the industry toward scale.</t>
        </is>
      </c>
      <c r="G185" s="2" t="inlineStr">
        <is>
          <t>PLANADVISER</t>
        </is>
      </c>
      <c r="H185" s="2" t="inlineStr">
        <is>
          <t>https://www.planadviser.com/epic-snags-recordkeeper-retirement-direct/</t>
        </is>
      </c>
      <c r="I185" s="2" t="inlineStr">
        <is>
          <t>2026-08-18</t>
        </is>
      </c>
    </row>
    <row r="186">
      <c r="A186" s="2" t="inlineStr">
        <is>
          <t>2026-08-29</t>
        </is>
      </c>
      <c r="B186" s="2" t="inlineStr">
        <is>
          <t>Wealth Management</t>
        </is>
      </c>
      <c r="C186" s="2" t="inlineStr">
        <is>
          <t>M&amp;A</t>
        </is>
      </c>
      <c r="D186" s="2" t="inlineStr">
        <is>
          <t>United States</t>
        </is>
      </c>
      <c r="E186" s="2" t="inlineStr">
        <is>
          <t>Wealth Enhancement extends acquisition streak with $644 million Washington state RIA</t>
        </is>
      </c>
      <c r="F186" s="2" t="inlineStr">
        <is>
          <t>Wealth Enhancement acquired Olympia, Washington-based Weinand Financial, an independent RIA with about $644 million in client assets, pushing the consolidator's total client assets past $160.7 billion.</t>
        </is>
      </c>
      <c r="G186" s="2" t="inlineStr">
        <is>
          <t>InvestmentNews</t>
        </is>
      </c>
      <c r="H186" s="2" t="inlineStr">
        <is>
          <t>https://www.investmentnews.com/ria-news/wealth-enhancement-extends-acquisition-streak-with-washington-state-deal/267856</t>
        </is>
      </c>
      <c r="I186" s="2" t="inlineStr">
        <is>
          <t>2026-08-18</t>
        </is>
      </c>
    </row>
    <row r="187">
      <c r="A187" s="2" t="inlineStr">
        <is>
          <t>2026-08-31</t>
        </is>
      </c>
      <c r="B187" s="2" t="inlineStr">
        <is>
          <t>Investments</t>
        </is>
      </c>
      <c r="C187" s="2" t="inlineStr">
        <is>
          <t>M&amp;A</t>
        </is>
      </c>
      <c r="D187" s="2" t="inlineStr">
        <is>
          <t>Global</t>
        </is>
      </c>
      <c r="E187" s="2" t="inlineStr">
        <is>
          <t>Thoma Bravo to take specialty insurer Accelerant private in $4 billion-plus deal</t>
        </is>
      </c>
      <c r="F187" s="2" t="inlineStr">
        <is>
          <t>The software-focused investment firm agreed to buy the Accelerant Risk Exchange platform for $20.25 a share in cash, a 49% premium, with Accelerant's largest investor and founders keeping equity alongside Thoma Bravo.</t>
        </is>
      </c>
      <c r="G187" s="2" t="inlineStr">
        <is>
          <t>Reinsurance News</t>
        </is>
      </c>
      <c r="H187" s="2" t="inlineStr">
        <is>
          <t>https://www.reinsurancene.ws/accelerant-heads-back-to-private-ownership-with-thoma-bravo-acquisition/</t>
        </is>
      </c>
      <c r="I187" s="2" t="inlineStr">
        <is>
          <t>2026-08-18</t>
        </is>
      </c>
    </row>
    <row r="188">
      <c r="A188" s="2" t="inlineStr">
        <is>
          <t>2026-08-31</t>
        </is>
      </c>
      <c r="B188" s="2" t="inlineStr">
        <is>
          <t>Property &amp; Casualty</t>
        </is>
      </c>
      <c r="C188" s="2" t="inlineStr">
        <is>
          <t>Market Economics</t>
        </is>
      </c>
      <c r="D188" s="2" t="inlineStr">
        <is>
          <t>United States</t>
        </is>
      </c>
      <c r="E188" s="2" t="inlineStr">
        <is>
          <t>Wawanesa Insurance rebrands as W Insurance in its California personal-lines business</t>
        </is>
      </c>
      <c r="F188" s="2" t="inlineStr">
        <is>
          <t>The San Diego-based carrier, acquired by the Automobile Club of Southern California's affiliated insurer in 2024, shortened its name for its roughly 300,000 auto, home, condo and renters policies, with no change to coverage, claims or servicing.</t>
        </is>
      </c>
      <c r="G188" s="2" t="inlineStr">
        <is>
          <t>Coverager</t>
        </is>
      </c>
      <c r="H188" s="2" t="inlineStr">
        <is>
          <t>https://coverager.com/wawanesa-insurance-rebrands-as-w-insurance/</t>
        </is>
      </c>
      <c r="I188" s="2" t="inlineStr">
        <is>
          <t>2026-08-18</t>
        </is>
      </c>
    </row>
    <row r="189">
      <c r="A189" s="2" t="inlineStr">
        <is>
          <t>2026-09-05</t>
        </is>
      </c>
      <c r="B189" s="2" t="inlineStr">
        <is>
          <t>Property &amp; Casualty</t>
        </is>
      </c>
      <c r="C189" s="2" t="inlineStr">
        <is>
          <t>Investments &amp; Funding</t>
        </is>
      </c>
      <c r="D189" s="2" t="inlineStr">
        <is>
          <t>Global</t>
        </is>
      </c>
      <c r="E189" s="2" t="inlineStr">
        <is>
          <t>Catastrophe bond market on pace for a second straight year above $20 billion in issuance</t>
        </is>
      </c>
      <c r="F189" s="2" t="inlineStr">
        <is>
          <t>Cat bond spreads tightened through the summer as issuance accelerated; Aon Securities projects full-year 2026 volume will again top $20 billion, with insurers like Mangrove Property Insurance securing record reinsurance and cat-bond coverage ahead of the Atlantic hurricane season.</t>
        </is>
      </c>
      <c r="G189" s="2" t="inlineStr">
        <is>
          <t>Artemis.bm</t>
        </is>
      </c>
      <c r="H189" s="2" t="inlineStr">
        <is>
          <t>https://www.artemis.bm/news/mangrove-secures-record-catastrophe-reinsurance-cover-for-2026-hurricane-season/</t>
        </is>
      </c>
      <c r="I189" s="2" t="inlineStr">
        <is>
          <t>2026-08-18</t>
        </is>
      </c>
    </row>
    <row r="190">
      <c r="A190" s="2" t="inlineStr">
        <is>
          <t>2026-08-20</t>
        </is>
      </c>
      <c r="B190" s="2" t="inlineStr">
        <is>
          <t>Insurtech</t>
        </is>
      </c>
      <c r="C190" s="2" t="inlineStr">
        <is>
          <t>M&amp;A</t>
        </is>
      </c>
      <c r="D190" s="2" t="inlineStr">
        <is>
          <t>Global</t>
        </is>
      </c>
      <c r="E190" s="2" t="inlineStr">
        <is>
          <t>Munich Re to acquire cyber insurtech At-Bay for $575 million</t>
        </is>
      </c>
      <c r="F190" s="2" t="inlineStr">
        <is>
          <t>Munich Re agreed to acquire At-Bay, a top-10 U.S. cyber insurer with $278 million in gross written premium, in a $575 million deal expected to close in early 2027 and strengthen Munich Re's integrated cyber risk-mitigation platform.</t>
        </is>
      </c>
      <c r="G190" s="2" t="inlineStr">
        <is>
          <t>Munich Re</t>
        </is>
      </c>
      <c r="H190" s="2" t="inlineStr">
        <is>
          <t>https://www.munichre.com/en/company/media-relations/media-information-and-corporate-news/media-information/2026/media-release-2026-08-19.html</t>
        </is>
      </c>
      <c r="I190" s="2" t="inlineStr">
        <is>
          <t>2026-08-19</t>
        </is>
      </c>
    </row>
    <row r="191">
      <c r="A191" s="2" t="inlineStr">
        <is>
          <t>2026-08-20</t>
        </is>
      </c>
      <c r="B191" s="2" t="inlineStr">
        <is>
          <t>Property &amp; Casualty</t>
        </is>
      </c>
      <c r="C191" s="2" t="inlineStr">
        <is>
          <t>Technology &amp; AI</t>
        </is>
      </c>
      <c r="D191" s="2" t="inlineStr">
        <is>
          <t>Global</t>
        </is>
      </c>
      <c r="E191" s="2" t="inlineStr">
        <is>
          <t>Aon launches $200 million 'Sidecar X' facility to streamline transactional risk insurance</t>
        </is>
      </c>
      <c r="F191" s="2" t="inlineStr">
        <is>
          <t>Aon debuted Sidecar X, a facility offering up to $200 million in dedicated capacity for representations-and-warranties and tax insurance, using pre-agreed underwriting frameworks to give clients faster placement and a 10% premium discount.</t>
        </is>
      </c>
      <c r="G191" s="2" t="inlineStr">
        <is>
          <t>Reinsurance News</t>
        </is>
      </c>
      <c r="H191" s="2" t="inlineStr">
        <is>
          <t>https://www.reinsurancene.ws/aon-launches-sidecar-x-offering-up-to-200m-in-capacity/</t>
        </is>
      </c>
      <c r="I191" s="2" t="inlineStr">
        <is>
          <t>2026-08-19</t>
        </is>
      </c>
    </row>
    <row r="192">
      <c r="A192" s="2" t="inlineStr">
        <is>
          <t>2026-08-21</t>
        </is>
      </c>
      <c r="B192" s="2" t="inlineStr">
        <is>
          <t>Brokers &amp; MGA/GA</t>
        </is>
      </c>
      <c r="C192" s="2" t="inlineStr">
        <is>
          <t>M&amp;A</t>
        </is>
      </c>
      <c r="D192" s="2" t="inlineStr">
        <is>
          <t>Global</t>
        </is>
      </c>
      <c r="E192" s="2" t="inlineStr">
        <is>
          <t>Munich Re to acquire cyber insurtech At-Bay for $575 million</t>
        </is>
      </c>
      <c r="F192" s="2" t="inlineStr">
        <is>
          <t>Munich Re's Hartford Steam Boiler unit will absorb At-Bay, a top-10 US cyber insurer, in a deal valuing the company at roughly 2x gross written premium — a material step down from its 2021 venture valuation.</t>
        </is>
      </c>
      <c r="G192" s="2" t="inlineStr">
        <is>
          <t>Insurance Journal</t>
        </is>
      </c>
      <c r="H192" s="2" t="inlineStr">
        <is>
          <t>https://www.insurancejournal.com/news/national/2026/08/19/882152.htm</t>
        </is>
      </c>
      <c r="I192" s="2" t="inlineStr">
        <is>
          <t>2026-08-19</t>
        </is>
      </c>
    </row>
    <row r="193">
      <c r="A193" s="2" t="inlineStr">
        <is>
          <t>2026-08-21</t>
        </is>
      </c>
      <c r="B193" s="2" t="inlineStr">
        <is>
          <t>Insurtech</t>
        </is>
      </c>
      <c r="C193" s="2" t="inlineStr">
        <is>
          <t>Technology &amp; AI</t>
        </is>
      </c>
      <c r="D193" s="2" t="inlineStr">
        <is>
          <t>United States</t>
        </is>
      </c>
      <c r="E193" s="2" t="inlineStr">
        <is>
          <t>Bolt debuts what it calls an industry-first AI insurance platform</t>
        </is>
      </c>
      <c r="F193" s="2" t="inlineStr">
        <is>
          <t>Bolt launched a new AI-driven platform aimed at reshaping how insurance products are built and distributed, part of a broader wave of insurtechs racing to embed generative AI across the policy lifecycle.</t>
        </is>
      </c>
      <c r="G193" s="2" t="inlineStr">
        <is>
          <t>FinTech Global</t>
        </is>
      </c>
      <c r="H193" s="2" t="inlineStr">
        <is>
          <t>https://fintech.global/2026/08/19/bolt-debuts-industry-first-ai-insurance-platform/</t>
        </is>
      </c>
      <c r="I193" s="2" t="inlineStr">
        <is>
          <t>2026-08-19</t>
        </is>
      </c>
    </row>
    <row r="194">
      <c r="A194" s="2" t="inlineStr">
        <is>
          <t>2026-08-21</t>
        </is>
      </c>
      <c r="B194" s="2" t="inlineStr">
        <is>
          <t>Wealth Management</t>
        </is>
      </c>
      <c r="C194" s="2" t="inlineStr">
        <is>
          <t>Technology &amp; AI</t>
        </is>
      </c>
      <c r="D194" s="2" t="inlineStr">
        <is>
          <t>United States</t>
        </is>
      </c>
      <c r="E194" s="2" t="inlineStr">
        <is>
          <t>AdvisorFinder launches tool to show advisors how AI search engines portray them online</t>
        </is>
      </c>
      <c r="F194" s="2" t="inlineStr">
        <is>
          <t>AdvisorFinder Intelligence gives financial advisors a Digital Presence Report grading their search visibility, website health and online credibility, alongside a prioritized plan to improve how AI tools recommend them.</t>
        </is>
      </c>
      <c r="G194" s="2" t="inlineStr">
        <is>
          <t>FinTech Global</t>
        </is>
      </c>
      <c r="H194" s="2" t="inlineStr">
        <is>
          <t>https://fintech.global/2026/08/19/advisorfinder-launches-ai-visibility-tool-for-advisors/</t>
        </is>
      </c>
      <c r="I194" s="2" t="inlineStr">
        <is>
          <t>2026-08-19</t>
        </is>
      </c>
    </row>
    <row r="195">
      <c r="A195" s="2" t="inlineStr">
        <is>
          <t>2026-08-22</t>
        </is>
      </c>
      <c r="B195" s="2" t="inlineStr">
        <is>
          <t>Brokers &amp; MGA/GA</t>
        </is>
      </c>
      <c r="C195" s="2" t="inlineStr">
        <is>
          <t>Investments &amp; Funding</t>
        </is>
      </c>
      <c r="D195" s="2" t="inlineStr">
        <is>
          <t>United States</t>
        </is>
      </c>
      <c r="E195" s="2" t="inlineStr">
        <is>
          <t>Wildfire-focused broker RockRose Risk raises $12.5 million</t>
        </is>
      </c>
      <c r="F195" s="2" t="inlineStr">
        <is>
          <t>RockRose Risk, a US insurance brokerage specializing in wildfire-exposed properties, closed a $12.5 million Series A round co-led by Crosslink Capital and Congruent Ventures.</t>
        </is>
      </c>
      <c r="G195" s="2" t="inlineStr">
        <is>
          <t>Bloomberg</t>
        </is>
      </c>
      <c r="H195" s="2" t="inlineStr">
        <is>
          <t>https://www.bloomberg.com/news/articles/2026-08-19/fire-zone-insurance-broker-rockrose-risk-raises-12-5-million</t>
        </is>
      </c>
      <c r="I195" s="2" t="inlineStr">
        <is>
          <t>2026-08-19</t>
        </is>
      </c>
    </row>
    <row r="196">
      <c r="A196" s="2" t="inlineStr">
        <is>
          <t>2026-08-22</t>
        </is>
      </c>
      <c r="B196" s="2" t="inlineStr">
        <is>
          <t>Healthcare / Provider &amp; Clinical</t>
        </is>
      </c>
      <c r="C196" s="2" t="inlineStr">
        <is>
          <t>Technology &amp; AI</t>
        </is>
      </c>
      <c r="D196" s="2" t="inlineStr">
        <is>
          <t>United States</t>
        </is>
      </c>
      <c r="E196" s="2" t="inlineStr">
        <is>
          <t>Oracle Health rolls out upgraded AI agent for clinicians</t>
        </is>
      </c>
      <c r="F196" s="2" t="inlineStr">
        <is>
          <t>Oracle Health released enhanced Clinical AI Agent capabilities designed to help doctors prepare for visits, finish documentation faster, and improve reimbursement accuracy for health systems.</t>
        </is>
      </c>
      <c r="G196" s="2" t="inlineStr">
        <is>
          <t>Health IT Answers</t>
        </is>
      </c>
      <c r="H196" s="2" t="inlineStr">
        <is>
          <t>https://www.healthitanswers.net/ai-in-healthcare-news-and-updates-081926/</t>
        </is>
      </c>
      <c r="I196" s="2" t="inlineStr">
        <is>
          <t>2026-08-19</t>
        </is>
      </c>
    </row>
    <row r="197">
      <c r="A197" s="2" t="inlineStr">
        <is>
          <t>2026-08-22</t>
        </is>
      </c>
      <c r="B197" s="2" t="inlineStr">
        <is>
          <t>Insurtech</t>
        </is>
      </c>
      <c r="C197" s="2" t="inlineStr">
        <is>
          <t>M&amp;A</t>
        </is>
      </c>
      <c r="D197" s="2" t="inlineStr">
        <is>
          <t>United States</t>
        </is>
      </c>
      <c r="E197" s="2" t="inlineStr">
        <is>
          <t>Munich Re to buy cyber insurtech At-Bay in a $575 million deal</t>
        </is>
      </c>
      <c r="F197" s="2" t="inlineStr">
        <is>
          <t>Munich Re agreed to acquire US cyber insurtech At-Bay at an enterprise value of $575 million, folding its cyber-risk monitoring and underwriting-data platform into HSB, Munich Re Specialty's technology-focused cyber arm, with closing expected in early 2027.</t>
        </is>
      </c>
      <c r="G197" s="2" t="inlineStr">
        <is>
          <t>The Insurer</t>
        </is>
      </c>
      <c r="H197" s="2" t="inlineStr">
        <is>
          <t>https://www.theinsurer.com/cyber-risk/news/munich-re-confirms-deal-to-buy-cyber-insurtech-at-bay-for-575-million-2026-08-19/</t>
        </is>
      </c>
      <c r="I197" s="2" t="inlineStr">
        <is>
          <t>2026-08-19</t>
        </is>
      </c>
    </row>
    <row r="198">
      <c r="A198" s="2" t="inlineStr">
        <is>
          <t>2026-08-23</t>
        </is>
      </c>
      <c r="B198" s="2" t="inlineStr">
        <is>
          <t>BrokerTech</t>
        </is>
      </c>
      <c r="C198" s="2" t="inlineStr">
        <is>
          <t>People &amp; Leadership</t>
        </is>
      </c>
      <c r="D198" s="2" t="inlineStr">
        <is>
          <t>United States</t>
        </is>
      </c>
      <c r="E198" s="2" t="inlineStr">
        <is>
          <t>EPIC Insurance Brokers reshuffles senior leadership to prep for its next growth phase</t>
        </is>
      </c>
      <c r="F198" s="2" t="inlineStr">
        <is>
          <t>EPIC Insurance Brokers and Consultants announced a round of strategic leadership promotions, including elevating Adam Okun, as the firm positions its executive team for continued expansion under CEO Steve Denton.</t>
        </is>
      </c>
      <c r="G198" s="2" t="inlineStr">
        <is>
          <t>Business Wire</t>
        </is>
      </c>
      <c r="H198" s="2" t="inlineStr">
        <is>
          <t>https://secure.businesswire.com/news/home/20260819093858/en/EPIC-Insurance-Brokers-and-Consultants-Announces-Strategic-Leadership-Promotions</t>
        </is>
      </c>
      <c r="I198" s="2" t="inlineStr">
        <is>
          <t>2026-08-19</t>
        </is>
      </c>
    </row>
    <row r="199">
      <c r="A199" s="2" t="inlineStr">
        <is>
          <t>2026-08-23</t>
        </is>
      </c>
      <c r="B199" s="2" t="inlineStr">
        <is>
          <t>Brokers &amp; MGA/GA</t>
        </is>
      </c>
      <c r="C199" s="2" t="inlineStr">
        <is>
          <t>People &amp; Leadership</t>
        </is>
      </c>
      <c r="D199" s="2" t="inlineStr">
        <is>
          <t>UK/Europe</t>
        </is>
      </c>
      <c r="E199" s="2" t="inlineStr">
        <is>
          <t>Howden Re Recruits Senior Broker to Expand International Team</t>
        </is>
      </c>
      <c r="F199" s="2" t="inlineStr">
        <is>
          <t>Howden Re hired David Simpson to join its international broking team in London, where he is expected to help drive growth across the Nordic region and Continental Europe once he completes obligations with his current employer.</t>
        </is>
      </c>
      <c r="G199" s="2" t="inlineStr">
        <is>
          <t>Reinsurance News</t>
        </is>
      </c>
      <c r="H199" s="2" t="inlineStr">
        <is>
          <t>https://www.reinsurancene.ws/howden-re-adds-david-simpson-to-its-international-broking-team/</t>
        </is>
      </c>
      <c r="I199" s="2" t="inlineStr">
        <is>
          <t>2026-08-19</t>
        </is>
      </c>
    </row>
    <row r="200">
      <c r="A200" s="2" t="inlineStr">
        <is>
          <t>2026-08-23</t>
        </is>
      </c>
      <c r="B200" s="2" t="inlineStr">
        <is>
          <t>FinTech</t>
        </is>
      </c>
      <c r="C200" s="2" t="inlineStr">
        <is>
          <t>Investments &amp; Funding</t>
        </is>
      </c>
      <c r="D200" s="2" t="inlineStr">
        <is>
          <t>United States</t>
        </is>
      </c>
      <c r="E200" s="2" t="inlineStr">
        <is>
          <t>Wildfire-focused insurtech RockRose Risk raises $12.5M to build out risk-mitigation-plus-cover model</t>
        </is>
      </c>
      <c r="F200" s="2" t="inlineStr">
        <is>
          <t>RockRose Risk closed a $12.5 million Series A co-led by Crosslink Capital and Congruent Ventures to expand its bundled offering of wildfire mitigation services and discounted property insurance for owners in fire-prone Western states.</t>
        </is>
      </c>
      <c r="G200" s="2" t="inlineStr">
        <is>
          <t>Insurance Journal</t>
        </is>
      </c>
      <c r="H200" s="2" t="inlineStr">
        <is>
          <t>https://www.insurancejournal.com/news/west/2026/08/19/882174.htm</t>
        </is>
      </c>
      <c r="I200" s="2" t="inlineStr">
        <is>
          <t>2026-08-19</t>
        </is>
      </c>
    </row>
    <row r="201">
      <c r="A201" s="2" t="inlineStr">
        <is>
          <t>2026-08-23</t>
        </is>
      </c>
      <c r="B201" s="2" t="inlineStr">
        <is>
          <t>FinTech</t>
        </is>
      </c>
      <c r="C201" s="2" t="inlineStr">
        <is>
          <t>Regulatory &amp; Policy</t>
        </is>
      </c>
      <c r="D201" s="2" t="inlineStr">
        <is>
          <t>UK/Europe</t>
        </is>
      </c>
      <c r="E201" s="2" t="inlineStr">
        <is>
          <t>UK regulator trims transaction-reporting obligations in broader FCA rules reset</t>
        </is>
      </c>
      <c r="F201" s="2" t="inlineStr">
        <is>
          <t>The FCA cut back the scope of transaction reporting requirements as part of a wider August 2026 regulatory reset spanning asset management, Consumer Duty, crypto and AI governance, easing compliance burdens for fintech and insurance firms.</t>
        </is>
      </c>
      <c r="G201" s="2" t="inlineStr">
        <is>
          <t>FinTech Global</t>
        </is>
      </c>
      <c r="H201" s="2" t="inlineStr">
        <is>
          <t>https://fintech.global/2026/08/19/uk-slashes-transaction-reporting-scope-in-fca-reset/</t>
        </is>
      </c>
      <c r="I201" s="2" t="inlineStr">
        <is>
          <t>2026-08-19</t>
        </is>
      </c>
    </row>
    <row r="202">
      <c r="A202" s="2" t="inlineStr">
        <is>
          <t>2026-08-23</t>
        </is>
      </c>
      <c r="B202" s="2" t="inlineStr">
        <is>
          <t>Life &amp; Annuities</t>
        </is>
      </c>
      <c r="C202" s="2" t="inlineStr">
        <is>
          <t>Technology &amp; AI</t>
        </is>
      </c>
      <c r="D202" s="2" t="inlineStr">
        <is>
          <t>APAC</t>
        </is>
      </c>
      <c r="E202" s="2" t="inlineStr">
        <is>
          <t>Samsung Life rolls out a digital-only lump-sum annuity with a locked-in 4.13% rate</t>
        </is>
      </c>
      <c r="F202" s="2" t="inlineStr">
        <is>
          <t>Samsung Life launched a fully digital one-time-payment annuity product that lets customers pay a single upfront premium to secure a fixed 4.13% rate for five years of retirement income.</t>
        </is>
      </c>
      <c r="G202" s="2" t="inlineStr">
        <is>
          <t>BigGo Finance</t>
        </is>
      </c>
      <c r="H202" s="2" t="inlineStr">
        <is>
          <t>https://finance.biggo.com/news/2bcf3b6d-67f9-41f6-8c76-342cb160f463</t>
        </is>
      </c>
      <c r="I202" s="2" t="inlineStr">
        <is>
          <t>2026-08-19</t>
        </is>
      </c>
    </row>
    <row r="203">
      <c r="A203" s="2" t="inlineStr">
        <is>
          <t>2026-08-23</t>
        </is>
      </c>
      <c r="B203" s="2" t="inlineStr">
        <is>
          <t>Wealth Management</t>
        </is>
      </c>
      <c r="C203" s="2" t="inlineStr">
        <is>
          <t>M&amp;A</t>
        </is>
      </c>
      <c r="D203" s="2" t="inlineStr">
        <is>
          <t>United States</t>
        </is>
      </c>
      <c r="E203" s="2" t="inlineStr">
        <is>
          <t>RIA Dealmaking on Pace for Record Year as Private-Equity Buyers Dominate</t>
        </is>
      </c>
      <c r="F203" s="2" t="inlineStr">
        <is>
          <t>RIA M&amp;A activity is tracking toward roughly 500 deals in 2026, which would top last year's record, with private-equity-linked buyers accounting for nearly 72% of transactions including a record 95 PE-sponsored deals.</t>
        </is>
      </c>
      <c r="G203" s="2" t="inlineStr">
        <is>
          <t>InvestmentNews</t>
        </is>
      </c>
      <c r="H203" s="2" t="inlineStr">
        <is>
          <t>https://www.investmentnews.com/ria-news/ria-dealmaking-races-to-a-record-pace-as-consolidators-bulk-up-on-scale/267615</t>
        </is>
      </c>
      <c r="I203" s="2" t="inlineStr">
        <is>
          <t>2026-08-19</t>
        </is>
      </c>
    </row>
    <row r="204">
      <c r="A204" s="2" t="inlineStr">
        <is>
          <t>2026-08-25</t>
        </is>
      </c>
      <c r="B204" s="2" t="inlineStr">
        <is>
          <t>Healthcare / Provider &amp; Clinical</t>
        </is>
      </c>
      <c r="C204" s="2" t="inlineStr">
        <is>
          <t>Technology &amp; AI</t>
        </is>
      </c>
      <c r="D204" s="2" t="inlineStr">
        <is>
          <t>United States</t>
        </is>
      </c>
      <c r="E204" s="2" t="inlineStr">
        <is>
          <t>Oracle Health expands Clinical AI Agent with automated coding and dictation</t>
        </is>
      </c>
      <c r="F204" s="2" t="inlineStr">
        <is>
          <t>Oracle Health rolled out new Clinical AI Agent capabilities that automate professional-fee coding, enable direct-to-record dictation and expand chart-review summaries, building on tools it says have saved U.S. clinicians over 400,000 documentation hours.</t>
        </is>
      </c>
      <c r="G204" s="2" t="inlineStr">
        <is>
          <t>Healthcare IT News</t>
        </is>
      </c>
      <c r="H204" s="2" t="inlineStr">
        <is>
          <t>https://www.healthcareitnews.com/news/new-ai-capabilities-oracle-health-target-workflow-efficiencies</t>
        </is>
      </c>
      <c r="I204" s="2" t="inlineStr">
        <is>
          <t>2026-08-19</t>
        </is>
      </c>
    </row>
    <row r="205">
      <c r="A205" s="2" t="inlineStr">
        <is>
          <t>2026-08-25</t>
        </is>
      </c>
      <c r="B205" s="2" t="inlineStr">
        <is>
          <t>Retirement</t>
        </is>
      </c>
      <c r="C205" s="2" t="inlineStr">
        <is>
          <t>M&amp;A</t>
        </is>
      </c>
      <c r="D205" s="2" t="inlineStr">
        <is>
          <t>United States</t>
        </is>
      </c>
      <c r="E205" s="2" t="inlineStr">
        <is>
          <t>PLANADVISER tracks a fresh wave of retirement-advisory M&amp;A deals</t>
        </is>
      </c>
      <c r="F205" s="2" t="inlineStr">
        <is>
          <t>PLANADVISER's mid-August roundup of retirement-plan advisory mergers shows deal activity continuing at a steady clip, as aggregators keep adding retirement-focused RIAs and advisory teams.</t>
        </is>
      </c>
      <c r="G205" s="2" t="inlineStr">
        <is>
          <t>PLANADVISER</t>
        </is>
      </c>
      <c r="H205" s="2" t="inlineStr">
        <is>
          <t>https://www.planadviser.com/advisory-ma-news-8-19-2026/</t>
        </is>
      </c>
      <c r="I205" s="2" t="inlineStr">
        <is>
          <t>2026-08-19</t>
        </is>
      </c>
    </row>
    <row r="206">
      <c r="A206" s="2" t="inlineStr">
        <is>
          <t>2026-08-26</t>
        </is>
      </c>
      <c r="B206" s="2" t="inlineStr">
        <is>
          <t>Health Insurance / Payer</t>
        </is>
      </c>
      <c r="C206" s="2" t="inlineStr">
        <is>
          <t>Market Economics</t>
        </is>
      </c>
      <c r="D206" s="2" t="inlineStr">
        <is>
          <t>United States</t>
        </is>
      </c>
      <c r="E206" s="2" t="inlineStr">
        <is>
          <t>ACA individual market risk pool grows smaller and sicker as enhanced subsidies expire</t>
        </is>
      </c>
      <c r="F206" s="2" t="inlineStr">
        <is>
          <t>With enhanced ACA premium tax credits expiring, healthier enrollees have been leaving the marketplaces, and analysts estimate enrollment fell 17-26% in 2026 while morbidity worsened 2.9-6.5%, pushing insurers to build 2027 rates on a smaller, less healthy risk pool.</t>
        </is>
      </c>
      <c r="G206" s="2" t="inlineStr">
        <is>
          <t>Peterson-KFF Health System Tracker</t>
        </is>
      </c>
      <c r="H206" s="2" t="inlineStr">
        <is>
          <t>https://www.healthsystemtracker.org/brief/how-much-and-why-aca-marketplace-premiums-are-going-up-in-2027/</t>
        </is>
      </c>
      <c r="I206" s="2" t="inlineStr">
        <is>
          <t>2026-08-19</t>
        </is>
      </c>
    </row>
    <row r="207">
      <c r="A207" s="2" t="inlineStr">
        <is>
          <t>2026-08-26</t>
        </is>
      </c>
      <c r="B207" s="2" t="inlineStr">
        <is>
          <t>Health Insurance / Payer</t>
        </is>
      </c>
      <c r="C207" s="2" t="inlineStr">
        <is>
          <t>Market Economics</t>
        </is>
      </c>
      <c r="D207" s="2" t="inlineStr">
        <is>
          <t>United States</t>
        </is>
      </c>
      <c r="E207" s="2" t="inlineStr">
        <is>
          <t>Mount Sinai quietly stops taking some new patients on Medicaid and Medicare Advantage plans</t>
        </is>
      </c>
      <c r="F207" s="2" t="inlineStr">
        <is>
          <t>Mount Sinai Health System removed notices -- after a Politico inquiry -- showing it had stopped accepting new patients under Centene's Fidelis Care and Wellcare Medicare Advantage plans, plus EmblemHealth Medicaid products, as of Aug. 1, while continuing to treat existing patients on those plans.</t>
        </is>
      </c>
      <c r="G207" s="2" t="inlineStr">
        <is>
          <t>Becker's Payer Issues</t>
        </is>
      </c>
      <c r="H207" s="2" t="inlineStr">
        <is>
          <t>https://www.beckerspayer.com/contracting/mount-sinai-quietly-stops-accepting-some-new-patients-with-government-backed-plans/</t>
        </is>
      </c>
      <c r="I207" s="2" t="inlineStr">
        <is>
          <t>2026-08-19</t>
        </is>
      </c>
    </row>
    <row r="208">
      <c r="A208" s="2" t="inlineStr">
        <is>
          <t>2026-08-26</t>
        </is>
      </c>
      <c r="B208" s="2" t="inlineStr">
        <is>
          <t>Healthcare / Provider &amp; Clinical</t>
        </is>
      </c>
      <c r="C208" s="2" t="inlineStr">
        <is>
          <t>Technology &amp; AI</t>
        </is>
      </c>
      <c r="D208" s="2" t="inlineStr">
        <is>
          <t>United States</t>
        </is>
      </c>
      <c r="E208" s="2" t="inlineStr">
        <is>
          <t>Oracle Health expands Clinical AI Agent with coding, dictation and chart review</t>
        </is>
      </c>
      <c r="F208" s="2" t="inlineStr">
        <is>
          <t>Oracle Health added professional-fee coding, clinician-controlled dictation and cross-record chart review to its Clinical AI Agent, aiming to cut documentation time, speed visit prep and improve reimbursement accuracy for health systems.</t>
        </is>
      </c>
      <c r="G208" s="2" t="inlineStr">
        <is>
          <t>Oracle</t>
        </is>
      </c>
      <c r="H208" s="2" t="inlineStr">
        <is>
          <t>https://www.oracle.com/news/announcement/oracle-health-expands-clinical-ai-agent-with-coding-dictation-chart-review-2026-08-19/</t>
        </is>
      </c>
      <c r="I208" s="2" t="inlineStr">
        <is>
          <t>2026-08-19</t>
        </is>
      </c>
    </row>
    <row r="209">
      <c r="A209" s="2" t="inlineStr">
        <is>
          <t>2026-08-31</t>
        </is>
      </c>
      <c r="B209" s="2" t="inlineStr">
        <is>
          <t>Property &amp; Casualty</t>
        </is>
      </c>
      <c r="C209" s="2" t="inlineStr">
        <is>
          <t>Market Economics</t>
        </is>
      </c>
      <c r="D209" s="2" t="inlineStr">
        <is>
          <t>United States</t>
        </is>
      </c>
      <c r="E209" s="2" t="inlineStr">
        <is>
          <t>Calaveras County wildfire burns over 10,000 acres, affecting more than 64,000 policyholders</t>
        </is>
      </c>
      <c r="F209" s="2" t="inlineStr">
        <is>
          <t>A California wildfire that broke out earlier in the month has scorched over 10,000 acres and touched more than 64,000 policyholders, as the NAIC's summer national meeting took up property-casualty issues the same week.</t>
        </is>
      </c>
      <c r="G209" s="2" t="inlineStr">
        <is>
          <t>PropertyCasualty360</t>
        </is>
      </c>
      <c r="H209" s="2" t="inlineStr">
        <is>
          <t>https://www.propertycasualty360.com/2026/08/19/around-the-pc-insurance-industry-august-19-2026/</t>
        </is>
      </c>
      <c r="I209" s="2" t="inlineStr">
        <is>
          <t>2026-08-19</t>
        </is>
      </c>
    </row>
    <row r="210">
      <c r="A210" s="2" t="inlineStr">
        <is>
          <t>2026-08-31</t>
        </is>
      </c>
      <c r="B210" s="2" t="inlineStr">
        <is>
          <t>Wealth Management</t>
        </is>
      </c>
      <c r="C210" s="2" t="inlineStr">
        <is>
          <t>People &amp; Leadership</t>
        </is>
      </c>
      <c r="D210" s="2" t="inlineStr">
        <is>
          <t>United States</t>
        </is>
      </c>
      <c r="E210" s="2" t="inlineStr">
        <is>
          <t>Kestra Financial names ex-BlackRock executive Kelly Apple as head of wealth management</t>
        </is>
      </c>
      <c r="F210" s="2" t="inlineStr">
        <is>
          <t>Apple, who spent more than 13 years at BlackRock and previously held senior roles at DWS and Van Kampen, will lead Kestra's investment management, high-net-worth, retirement and insurance, and alternative-investment teams.</t>
        </is>
      </c>
      <c r="G210" s="2" t="inlineStr">
        <is>
          <t>Business Wire</t>
        </is>
      </c>
      <c r="H210" s="2" t="inlineStr">
        <is>
          <t>https://www.businesswire.com/news/home/20260819222135/en/Kestra-Financial-Appoints-Kelly-Apple-as-Next-Head-of-Wealth-Management</t>
        </is>
      </c>
      <c r="I210" s="2" t="inlineStr">
        <is>
          <t>2026-08-19</t>
        </is>
      </c>
    </row>
    <row r="211">
      <c r="A211" s="2" t="inlineStr">
        <is>
          <t>2026-08-22</t>
        </is>
      </c>
      <c r="B211" s="2" t="inlineStr">
        <is>
          <t>Investments</t>
        </is>
      </c>
      <c r="C211" s="2" t="inlineStr">
        <is>
          <t>Market Economics</t>
        </is>
      </c>
      <c r="D211" s="2" t="inlineStr">
        <is>
          <t>Global</t>
        </is>
      </c>
      <c r="E211" s="2" t="inlineStr">
        <is>
          <t>Private credit managers pivot away from direct lending as fundraising cools sharply</t>
        </is>
      </c>
      <c r="F211" s="2" t="inlineStr">
        <is>
          <t>Bloomberg reports that direct-lending fundraising has slumped -- non-traded business development company fundraising fell about 82% year over year in the second quarter -- pushing asset managers toward asset-based finance and credit-secondaries strategies instead.</t>
        </is>
      </c>
      <c r="G211" s="2" t="inlineStr">
        <is>
          <t>Bloomberg</t>
        </is>
      </c>
      <c r="H211" s="2" t="inlineStr">
        <is>
          <t>https://www.bloomberg.com/news/articles/2026-08-20/private-credit-makes-a-big-pivot-as-direct-lending-funds-shrink</t>
        </is>
      </c>
      <c r="I211" s="2" t="inlineStr">
        <is>
          <t>2026-08-20</t>
        </is>
      </c>
    </row>
    <row r="212">
      <c r="A212" s="2" t="inlineStr">
        <is>
          <t>2026-08-22</t>
        </is>
      </c>
      <c r="B212" s="2" t="inlineStr">
        <is>
          <t>Life &amp; Annuities</t>
        </is>
      </c>
      <c r="C212" s="2" t="inlineStr">
        <is>
          <t>Market Economics</t>
        </is>
      </c>
      <c r="D212" s="2" t="inlineStr">
        <is>
          <t>UK/Europe</t>
        </is>
      </c>
      <c r="E212" s="2" t="inlineStr">
        <is>
          <t>M&amp;G completes another UK bulk annuity deal as pension buy-in demand stays strong</t>
        </is>
      </c>
      <c r="F212" s="2" t="inlineStr">
        <is>
          <t>M&amp;G finalized an £85 million bulk purchase annuity transaction covering roughly 740 members of the Altro Pension Scheme, part of a busy year of UK buy-in activity fueled by elevated annuity pricing rates and improved defined-benefit funding levels.</t>
        </is>
      </c>
      <c r="G212" s="2" t="inlineStr">
        <is>
          <t>Insurance Edge</t>
        </is>
      </c>
      <c r="H212" s="2" t="inlineStr">
        <is>
          <t>https://insurance-edge.net/2026/08/20/mg-completes-bpa-deal-for-altro-pension-scheme/</t>
        </is>
      </c>
      <c r="I212" s="2" t="inlineStr">
        <is>
          <t>2026-08-20</t>
        </is>
      </c>
    </row>
    <row r="213">
      <c r="A213" s="2" t="inlineStr">
        <is>
          <t>2026-08-23</t>
        </is>
      </c>
      <c r="B213" s="2" t="inlineStr">
        <is>
          <t>Life &amp; Annuities</t>
        </is>
      </c>
      <c r="C213" s="2" t="inlineStr">
        <is>
          <t>Regulatory &amp; Policy</t>
        </is>
      </c>
      <c r="D213" s="2" t="inlineStr">
        <is>
          <t>India</t>
        </is>
      </c>
      <c r="E213" s="2" t="inlineStr">
        <is>
          <t>IRDAI bars Edelweiss Life from opening new branches for six months over expense breach</t>
        </is>
      </c>
      <c r="F213" s="2" t="inlineStr">
        <is>
          <t>India's insurance regulator sanctioned Edelweiss Life Insurance for spending far above the permitted management-expense cap on non-participating business, blocking the insurer from launching any new offices for half a year.</t>
        </is>
      </c>
      <c r="G213" s="2" t="inlineStr">
        <is>
          <t>Whalesbook</t>
        </is>
      </c>
      <c r="H213" s="2" t="inlineStr">
        <is>
          <t>https://www.whalesbook.com/news/English/insurance/Edelweiss-Life-Insurance-Faces-6-Month-Expansion-Ban-from-IRDAI/6a88934084d2dd5c12e03c25</t>
        </is>
      </c>
      <c r="I213" s="2" t="inlineStr">
        <is>
          <t>2026-08-20</t>
        </is>
      </c>
    </row>
    <row r="214">
      <c r="A214" s="2" t="inlineStr">
        <is>
          <t>2026-08-23</t>
        </is>
      </c>
      <c r="B214" s="2" t="inlineStr">
        <is>
          <t>Retirement</t>
        </is>
      </c>
      <c r="C214" s="2" t="inlineStr">
        <is>
          <t>Regulatory &amp; Policy</t>
        </is>
      </c>
      <c r="D214" s="2" t="inlineStr">
        <is>
          <t>United States</t>
        </is>
      </c>
      <c r="E214" s="2" t="inlineStr">
        <is>
          <t>IRS floats updated funding rules for traditional employer pension plans</t>
        </is>
      </c>
      <c r="F214" s="2" t="inlineStr">
        <is>
          <t>The IRS proposed changes to the calculations used for pension plan funding, updating timing and qualification rules stemming from the SECURE Act and SECURE 2.0 Act.</t>
        </is>
      </c>
      <c r="G214" s="2" t="inlineStr">
        <is>
          <t>SavingAdvice</t>
        </is>
      </c>
      <c r="H214" s="2" t="inlineStr">
        <is>
          <t>https://www.savingadvice.com/articles/2026/08/20/10744846_irs-proposes-new-funding-rules-for-traditional-employer-pension-plans.html</t>
        </is>
      </c>
      <c r="I214" s="2" t="inlineStr">
        <is>
          <t>2026-08-20</t>
        </is>
      </c>
    </row>
    <row r="215">
      <c r="A215" s="2" t="inlineStr">
        <is>
          <t>2026-08-24</t>
        </is>
      </c>
      <c r="B215" s="2" t="inlineStr">
        <is>
          <t>Health Insurance / Payer</t>
        </is>
      </c>
      <c r="C215" s="2" t="inlineStr">
        <is>
          <t>Market Economics</t>
        </is>
      </c>
      <c r="D215" s="2" t="inlineStr">
        <is>
          <t>United States</t>
        </is>
      </c>
      <c r="E215" s="2" t="inlineStr">
        <is>
          <t>Aon projects employer health-care costs will jump 9.5% in 2027, a fourth straight year near double digits</t>
        </is>
      </c>
      <c r="F215" s="2" t="inlineStr">
        <is>
          <t>Aon's analysis of over 1,100 U.S. employers found projected 2027 health benefit costs rising 9.5% to above $19,000 per employee, driven by rising medical utilization, chronic disease prevalence and GLP-1 drug spending, extending a multi-year run of elevated cost trends.</t>
        </is>
      </c>
      <c r="G215" s="2" t="inlineStr">
        <is>
          <t>PR Newswire (Aon)</t>
        </is>
      </c>
      <c r="H215" s="2" t="inlineStr">
        <is>
          <t>https://www.prnewswire.com/news-releases/aon-us-employer-health-care-costs-continue-multi-year-climb-projected-to-rise-9-5-in-2027--302855864.html</t>
        </is>
      </c>
      <c r="I215" s="2" t="inlineStr">
        <is>
          <t>2026-08-20</t>
        </is>
      </c>
    </row>
    <row r="216">
      <c r="A216" s="2" t="inlineStr">
        <is>
          <t>2026-08-24</t>
        </is>
      </c>
      <c r="B216" s="2" t="inlineStr">
        <is>
          <t>Retirement</t>
        </is>
      </c>
      <c r="C216" s="2" t="inlineStr">
        <is>
          <t>Regulatory &amp; Policy</t>
        </is>
      </c>
      <c r="D216" s="2" t="inlineStr">
        <is>
          <t>United States</t>
        </is>
      </c>
      <c r="E216" s="2" t="inlineStr">
        <is>
          <t>IRS proposes updated funding rules for single-employer pension plans</t>
        </is>
      </c>
      <c r="F216" s="2" t="inlineStr">
        <is>
          <t>The IRS issued proposed regulations updating minimum funding requirements for single-employer defined benefit pension plans, scheduled for Federal Register publication on August 20, 2026, giving plan sponsors revised guidance on funding calculations.</t>
        </is>
      </c>
      <c r="G216" s="2" t="inlineStr">
        <is>
          <t>PSCA</t>
        </is>
      </c>
      <c r="H216" s="2" t="inlineStr">
        <is>
          <t>https://www.psca.org/news/psca-news/2026/8/irs-proposes-updates-to-single-employer-pension-funding-rules/</t>
        </is>
      </c>
      <c r="I216" s="2" t="inlineStr">
        <is>
          <t>2026-08-20</t>
        </is>
      </c>
    </row>
    <row r="217">
      <c r="A217" s="2" t="inlineStr">
        <is>
          <t>2026-08-25</t>
        </is>
      </c>
      <c r="B217" s="2" t="inlineStr">
        <is>
          <t>Property &amp; Casualty</t>
        </is>
      </c>
      <c r="C217" s="2" t="inlineStr">
        <is>
          <t>People &amp; Leadership</t>
        </is>
      </c>
      <c r="D217" s="2" t="inlineStr">
        <is>
          <t>United States</t>
        </is>
      </c>
      <c r="E217" s="2" t="inlineStr">
        <is>
          <t>Skyward Group's longtime CFO to retire, deputy CFO named successor</t>
        </is>
      </c>
      <c r="F217" s="2" t="inlineStr">
        <is>
          <t>Skyward Group announced that CFO Mark Haushill will retire in March 2027, with Taryn McHarg, currently deputy CFO, set to succeed him in the specialty P&amp;C insurer's finance leadership.</t>
        </is>
      </c>
      <c r="G217" s="2" t="inlineStr">
        <is>
          <t>SEC EDGAR / Skyward Specialty Insurance Group Form 8-K</t>
        </is>
      </c>
      <c r="H217" s="2" t="inlineStr">
        <is>
          <t>https://www.sec.gov/Archives/edgar/data/0001519449/000151944926000056/pressrelease-financeorgani.htm</t>
        </is>
      </c>
      <c r="I217" s="2" t="inlineStr">
        <is>
          <t>2026-08-20</t>
        </is>
      </c>
    </row>
    <row r="218">
      <c r="A218" s="2" t="inlineStr">
        <is>
          <t>2026-08-25</t>
        </is>
      </c>
      <c r="B218" s="2" t="inlineStr">
        <is>
          <t>TPA</t>
        </is>
      </c>
      <c r="C218" s="2" t="inlineStr">
        <is>
          <t>Regulatory &amp; Policy</t>
        </is>
      </c>
      <c r="D218" s="2" t="inlineStr">
        <is>
          <t>United States</t>
        </is>
      </c>
      <c r="E218" s="2" t="inlineStr">
        <is>
          <t>Insurer sues TPA operators over $2.48 million in unpaid claims left languishing</t>
        </is>
      </c>
      <c r="F218" s="2" t="inlineStr">
        <is>
          <t>An insurer filed suit against the owners of a third-party administrator, alleging the TPA left roughly 900 claims unprocessed while still collecting fees, exposing the insurer to an estimated $2.48 million in owed payouts.</t>
        </is>
      </c>
      <c r="G218" s="2" t="inlineStr">
        <is>
          <t>Insurance Business America</t>
        </is>
      </c>
      <c r="H218" s="2" t="inlineStr">
        <is>
          <t>https://www.insurancebusinessmag.com/us/news/risk-compliance-legal/insurer-sues-tpa-owners-alleging-2-48-million-payout-as-900-claims-sat-open-574624.aspx</t>
        </is>
      </c>
      <c r="I218" s="2" t="inlineStr">
        <is>
          <t>2026-08-20</t>
        </is>
      </c>
    </row>
    <row r="219">
      <c r="A219" s="2" t="inlineStr">
        <is>
          <t>2026-08-26</t>
        </is>
      </c>
      <c r="B219" s="2" t="inlineStr">
        <is>
          <t>TPA</t>
        </is>
      </c>
      <c r="C219" s="2" t="inlineStr">
        <is>
          <t>Technology &amp; AI</t>
        </is>
      </c>
      <c r="D219" s="2" t="inlineStr">
        <is>
          <t>Global</t>
        </is>
      </c>
      <c r="E219" s="2" t="inlineStr">
        <is>
          <t>TPA software market on pace to more than double by 2034 amid AI-driven claims push</t>
        </is>
      </c>
      <c r="F219" s="2" t="inlineStr">
        <is>
          <t>The global third-party-administrator software market is projected to grow from $4.8 billion in 2025 to $10.2 billion by 2034, an 8.7% CAGR, as AI-driven claims automation and rising self-funded enrollment push carriers and employers toward outsourced TPA platforms.</t>
        </is>
      </c>
      <c r="G219" s="2" t="inlineStr">
        <is>
          <t>Dataintelo</t>
        </is>
      </c>
      <c r="H219" s="2" t="inlineStr">
        <is>
          <t>https://dataintelo.com/report/third-party-administrator-software-market</t>
        </is>
      </c>
      <c r="I219" s="2" t="inlineStr">
        <is>
          <t>2026-08-20</t>
        </is>
      </c>
    </row>
    <row r="220">
      <c r="A220" s="2" t="inlineStr">
        <is>
          <t>2026-08-26</t>
        </is>
      </c>
      <c r="B220" s="2" t="inlineStr">
        <is>
          <t>Wealth Management</t>
        </is>
      </c>
      <c r="C220" s="2" t="inlineStr">
        <is>
          <t>People &amp; Leadership</t>
        </is>
      </c>
      <c r="D220" s="2" t="inlineStr">
        <is>
          <t>United States</t>
        </is>
      </c>
      <c r="E220" s="2" t="inlineStr">
        <is>
          <t>Carson Group adds $405 million Atlanta team from Northwestern Mutual</t>
        </is>
      </c>
      <c r="F220" s="2" t="inlineStr">
        <is>
          <t>Carson Group welcomed Yari Capital, a $405 million Atlanta advisory practice led by CFP Kurt Mattson, to its independent advisor channel, continuing a run of recruiting wins for the $62 billion RIA aggregator.</t>
        </is>
      </c>
      <c r="G220" s="2" t="inlineStr">
        <is>
          <t>InvestmentNews</t>
        </is>
      </c>
      <c r="H220" s="2" t="inlineStr">
        <is>
          <t>https://www.investmentnews.com/ria-news/carson-group-adds-405m-northwestern-mutual-team-in-atlanta/267900</t>
        </is>
      </c>
      <c r="I220" s="2" t="inlineStr">
        <is>
          <t>2026-08-20</t>
        </is>
      </c>
    </row>
    <row r="221">
      <c r="A221" s="2" t="inlineStr">
        <is>
          <t>2026-08-29</t>
        </is>
      </c>
      <c r="B221" s="2" t="inlineStr">
        <is>
          <t>Retirement</t>
        </is>
      </c>
      <c r="C221" s="2" t="inlineStr">
        <is>
          <t>Technology &amp; AI</t>
        </is>
      </c>
      <c r="D221" s="2" t="inlineStr">
        <is>
          <t>United States</t>
        </is>
      </c>
      <c r="E221" s="2" t="inlineStr">
        <is>
          <t>Vanguard readies first new target-date series since 2003 with built-in TIAA annuity</t>
        </is>
      </c>
      <c r="F221" s="2" t="inlineStr">
        <is>
          <t>Vanguard is rolling out Target Retirement Lifetime Income Trusts that begin allocating to the TIAA Secure Income Account at age 55, reaching about 25% of the portfolio by 65, giving 401(k) participants an optional guaranteed-income sleeve within the same glide path as its flagship funds.</t>
        </is>
      </c>
      <c r="G221" s="2" t="inlineStr">
        <is>
          <t>InvestmentNews</t>
        </is>
      </c>
      <c r="H221" s="2" t="inlineStr">
        <is>
          <t>https://www.investmentnews.com/retirement-planning/vanguard-adds-tiaa-backed-annuity-option-to-flagship-target-date-lineup/263381</t>
        </is>
      </c>
      <c r="I221" s="2" t="inlineStr">
        <is>
          <t>2026-08-20</t>
        </is>
      </c>
    </row>
    <row r="222">
      <c r="A222" s="2" t="inlineStr">
        <is>
          <t>2026-08-30</t>
        </is>
      </c>
      <c r="B222" s="2" t="inlineStr">
        <is>
          <t>Healthcare / Provider &amp; Clinical</t>
        </is>
      </c>
      <c r="C222" s="2" t="inlineStr">
        <is>
          <t>Technology &amp; AI</t>
        </is>
      </c>
      <c r="D222" s="2" t="inlineStr">
        <is>
          <t>United States</t>
        </is>
      </c>
      <c r="E222" s="2" t="inlineStr">
        <is>
          <t>Innovaccer and AWS strike multi-year deal to scale agentic AI across health systems</t>
        </is>
      </c>
      <c r="F222" s="2" t="inlineStr">
        <is>
          <t>Innovaccer and Amazon Web Services signed a multi-year strategic collaboration aimed at helping health systems and payers move agentic AI from pilot projects into deployments that meet security, compliance and scale requirements.</t>
        </is>
      </c>
      <c r="G222" s="2" t="inlineStr">
        <is>
          <t>Fierce Healthcare</t>
        </is>
      </c>
      <c r="H222" s="2" t="inlineStr">
        <is>
          <t>https://www.fiercehealthcare.com/health-tech/weekly-rundown-innovaccer-aws-ink-strategic-collab-invoca-launches-patient-engagement</t>
        </is>
      </c>
      <c r="I222" s="2" t="inlineStr">
        <is>
          <t>2026-08-20</t>
        </is>
      </c>
    </row>
    <row r="223">
      <c r="A223" s="2" t="inlineStr">
        <is>
          <t>2026-08-30</t>
        </is>
      </c>
      <c r="B223" s="2" t="inlineStr">
        <is>
          <t>Property &amp; Casualty</t>
        </is>
      </c>
      <c r="C223" s="2" t="inlineStr">
        <is>
          <t>Market Economics</t>
        </is>
      </c>
      <c r="D223" s="2" t="inlineStr">
        <is>
          <t>United States</t>
        </is>
      </c>
      <c r="E223" s="2" t="inlineStr">
        <is>
          <t>State Farm raises Illinois home insurance rates 27% on rising claims costs</t>
        </is>
      </c>
      <c r="F223" s="2" t="inlineStr">
        <is>
          <t>State Farm is raising home insurance rates by an average of 27% for Illinois customers, saying it paid out $1.26 in total costs for every $1 collected in premium in 2024, even as the insurer separately lowers Illinois auto rates.</t>
        </is>
      </c>
      <c r="G223" s="2" t="inlineStr">
        <is>
          <t>CBS News Chicago</t>
        </is>
      </c>
      <c r="H223" s="2" t="inlineStr">
        <is>
          <t>https://www.cbsnews.com/chicago/news/state-farm-illinois-home-insurance-rate-hike-august</t>
        </is>
      </c>
      <c r="I223" s="2" t="inlineStr">
        <is>
          <t>2026-08-20</t>
        </is>
      </c>
    </row>
    <row r="224">
      <c r="A224" s="2" t="inlineStr">
        <is>
          <t>2026-08-30</t>
        </is>
      </c>
      <c r="B224" s="2" t="inlineStr">
        <is>
          <t>Wealth Management</t>
        </is>
      </c>
      <c r="C224" s="2" t="inlineStr">
        <is>
          <t>M&amp;A</t>
        </is>
      </c>
      <c r="D224" s="2" t="inlineStr">
        <is>
          <t>United States</t>
        </is>
      </c>
      <c r="E224" s="2" t="inlineStr">
        <is>
          <t>Apollon and Merit extend RIA buying spree with two more acquisitions</t>
        </is>
      </c>
      <c r="F224" s="2" t="inlineStr">
        <is>
          <t>Apollon Wealth Management added a roughly $650 million RIA while Merit Financial Advisors picked up a $470 million advisory firm, the latest moves in an accelerating wave of RIA consolidation.</t>
        </is>
      </c>
      <c r="G224" s="2" t="inlineStr">
        <is>
          <t>WealthManagement.com</t>
        </is>
      </c>
      <c r="H224" s="2" t="inlineStr">
        <is>
          <t>https://www.wealthmanagement.com/ria-news/deals-moves-apollon-adds-650m-ria-merit-snags-470m-advisory</t>
        </is>
      </c>
      <c r="I224" s="2" t="inlineStr">
        <is>
          <t>2026-08-20</t>
        </is>
      </c>
    </row>
    <row r="225">
      <c r="A225" s="2" t="inlineStr">
        <is>
          <t>2026-08-31</t>
        </is>
      </c>
      <c r="B225" s="2" t="inlineStr">
        <is>
          <t>Retirement</t>
        </is>
      </c>
      <c r="C225" s="2" t="inlineStr">
        <is>
          <t>Regulatory &amp; Policy</t>
        </is>
      </c>
      <c r="D225" s="2" t="inlineStr">
        <is>
          <t>United States</t>
        </is>
      </c>
      <c r="E225" s="2" t="inlineStr">
        <is>
          <t>DC plan sponsors show rising appetite for alternative investments as DOL rule advances</t>
        </is>
      </c>
      <c r="F225" s="2" t="inlineStr">
        <is>
          <t>New research finds 44% of defined-contribution plan sponsors want to learn more about adding alternatives to 401(k) lineups, with large and mega plans most interested, as the Department of Labor works through a proposed fiduciary safe harbor for the asset class.</t>
        </is>
      </c>
      <c r="G225" s="2" t="inlineStr">
        <is>
          <t>InsuranceNewsNet</t>
        </is>
      </c>
      <c r="H225" s="2" t="inlineStr">
        <is>
          <t>https://insurancenewsnet.com/oarticle/dc-plan-sponsors-see-opportunity-in-alternatives</t>
        </is>
      </c>
      <c r="I225" s="2" t="inlineStr">
        <is>
          <t>2026-08-20</t>
        </is>
      </c>
    </row>
    <row r="226">
      <c r="A226" s="2" t="inlineStr">
        <is>
          <t>2026-08-31</t>
        </is>
      </c>
      <c r="B226" s="2" t="inlineStr">
        <is>
          <t>TPA</t>
        </is>
      </c>
      <c r="C226" s="2" t="inlineStr">
        <is>
          <t>People &amp; Leadership</t>
        </is>
      </c>
      <c r="D226" s="2" t="inlineStr">
        <is>
          <t>United States</t>
        </is>
      </c>
      <c r="E226" s="2" t="inlineStr">
        <is>
          <t>Healthcare Management Administrators names Diane Zalewski CEO</t>
        </is>
      </c>
      <c r="F226" s="2" t="inlineStr">
        <is>
          <t>The third-party administrator serving self-funded employers hired Zalewski, formerly president of Payer Solutions at Evernorth, where she ran a business serving health plans, TPAs and employer clients.</t>
        </is>
      </c>
      <c r="G226" s="2" t="inlineStr">
        <is>
          <t>PR Newswire</t>
        </is>
      </c>
      <c r="H226" s="2" t="inlineStr">
        <is>
          <t>https://www.prnewswire.com/news-releases/healthcare-management-administrators-appoints-diane-zalewski-as-ceo-302846511.html</t>
        </is>
      </c>
      <c r="I226" s="2" t="inlineStr">
        <is>
          <t>2026-08-20</t>
        </is>
      </c>
    </row>
    <row r="227">
      <c r="A227" s="2" t="inlineStr">
        <is>
          <t>2026-09-02</t>
        </is>
      </c>
      <c r="B227" s="2" t="inlineStr">
        <is>
          <t>Wealth Management</t>
        </is>
      </c>
      <c r="C227" s="2" t="inlineStr">
        <is>
          <t>Technology &amp; AI</t>
        </is>
      </c>
      <c r="D227" s="2" t="inlineStr">
        <is>
          <t>United States</t>
        </is>
      </c>
      <c r="E227" s="2" t="inlineStr">
        <is>
          <t>Advisors take a cautious approach to AI tools despite a crowded wealthtech field</t>
        </is>
      </c>
      <c r="F227" s="2" t="inlineStr">
        <is>
          <t>At the Future Proof Citywide conference in Miami, 86 wealthtech firms competed for demo slots spanning CRM, tax planning, compliance and agentic AI assistants, but advisors said they remain cautious about full-scale adoption.</t>
        </is>
      </c>
      <c r="G227" s="2" t="inlineStr">
        <is>
          <t>WealthManagement.com</t>
        </is>
      </c>
      <c r="H227" s="2" t="inlineStr">
        <is>
          <t>https://www.wealthmanagement.com/ria-news/in-a-sea-of-ai-tools-financial-advisors-are-mostly-dipping-toes</t>
        </is>
      </c>
      <c r="I227" s="2" t="inlineStr">
        <is>
          <t>2026-08-20</t>
        </is>
      </c>
    </row>
    <row r="228">
      <c r="A228" s="2" t="inlineStr">
        <is>
          <t>2026-09-05</t>
        </is>
      </c>
      <c r="B228" s="2" t="inlineStr">
        <is>
          <t>Health Insurance / Payer</t>
        </is>
      </c>
      <c r="C228" s="2" t="inlineStr">
        <is>
          <t>Market Economics</t>
        </is>
      </c>
      <c r="D228" s="2" t="inlineStr">
        <is>
          <t>United States</t>
        </is>
      </c>
      <c r="E228" s="2" t="inlineStr">
        <is>
          <t>UCare to exit the Medicare Advantage market amid rising medical costs</t>
        </is>
      </c>
      <c r="F228" s="2" t="inlineStr">
        <is>
          <t>Minnesota nonprofit insurer UCare asked CMS to terminate its Medicare Advantage plans for 2026 and is winding down operations, citing rising medical costs and broader market pressure, with its Medicaid and ACA business being sold to Medica.</t>
        </is>
      </c>
      <c r="G228" s="2" t="inlineStr">
        <is>
          <t>Becker's Payer Issues</t>
        </is>
      </c>
      <c r="H228" s="2" t="inlineStr">
        <is>
          <t>https://www.beckerspayer.com/payer/medicare-advantage/ucare-to-exit-medicare-advantage-market-in-2026/</t>
        </is>
      </c>
      <c r="I228" s="2" t="inlineStr">
        <is>
          <t>2026-08-20</t>
        </is>
      </c>
    </row>
    <row r="229">
      <c r="A229" s="2" t="inlineStr">
        <is>
          <t>2026-09-05</t>
        </is>
      </c>
      <c r="B229" s="2" t="inlineStr">
        <is>
          <t>Investments</t>
        </is>
      </c>
      <c r="C229" s="2" t="inlineStr">
        <is>
          <t>Technology &amp; AI</t>
        </is>
      </c>
      <c r="D229" s="2" t="inlineStr">
        <is>
          <t>Global</t>
        </is>
      </c>
      <c r="E229" s="2" t="inlineStr">
        <is>
          <t>Swiss Re Institute: $750 billion AI investment boom is reshaping the insurance risk landscape</t>
        </is>
      </c>
      <c r="F229" s="2" t="inlineStr">
        <is>
          <t>Swiss Re Institute says a roughly $750 billion boom in AI-related capital investment, layered on top of geopolitical fragmentation, is reshaping the risks insurers must underwrite and the opportunities available to their investment portfolios.</t>
        </is>
      </c>
      <c r="G229" s="2" t="inlineStr">
        <is>
          <t>Swiss Re</t>
        </is>
      </c>
      <c r="H229" s="2" t="inlineStr">
        <is>
          <t>https://www.swissre.com/press-release/USD-750-billion-AI-investment-boom-and-geopolitical-fragmentation-reshape-insurance-landscape-says-Swiss-Re-Institute/a615185d-97e1-4b52-a6df-a614257d8b2b</t>
        </is>
      </c>
      <c r="I229" s="2" t="inlineStr">
        <is>
          <t>2026-08-20</t>
        </is>
      </c>
    </row>
    <row r="230">
      <c r="A230" s="2" t="inlineStr">
        <is>
          <t>2026-08-22</t>
        </is>
      </c>
      <c r="B230" s="2" t="inlineStr">
        <is>
          <t>FinTech</t>
        </is>
      </c>
      <c r="C230" s="2" t="inlineStr">
        <is>
          <t>Investments &amp; Funding</t>
        </is>
      </c>
      <c r="D230" s="2" t="inlineStr">
        <is>
          <t>Global</t>
        </is>
      </c>
      <c r="E230" s="2" t="inlineStr">
        <is>
          <t>Payments and AI startups pull in $361 million in a single week of fintech funding</t>
        </is>
      </c>
      <c r="F230" s="2" t="inlineStr">
        <is>
          <t>Weekly fintech funding tracked by FinTech Global reached $361 million, with payments and AI-focused companies accounting for the bulk of the capital raised, continuing a summer run of steady if unspectacular deal flow.</t>
        </is>
      </c>
      <c r="G230" s="2" t="inlineStr">
        <is>
          <t>FinTech Global</t>
        </is>
      </c>
      <c r="H230" s="2" t="inlineStr">
        <is>
          <t>https://fintech.global/2026/08/21/payments-and-ai-drive-361m-in-fintech-funding-this-week/</t>
        </is>
      </c>
      <c r="I230" s="2" t="inlineStr">
        <is>
          <t>2026-08-21</t>
        </is>
      </c>
    </row>
    <row r="231">
      <c r="A231" s="2" t="inlineStr">
        <is>
          <t>2026-08-23</t>
        </is>
      </c>
      <c r="B231" s="2" t="inlineStr">
        <is>
          <t>FinTech</t>
        </is>
      </c>
      <c r="C231" s="2" t="inlineStr">
        <is>
          <t>Investments &amp; Funding</t>
        </is>
      </c>
      <c r="D231" s="2" t="inlineStr">
        <is>
          <t>UK/Europe</t>
        </is>
      </c>
      <c r="E231" s="2" t="inlineStr">
        <is>
          <t>August Equity takes a stake in niche digital MGA Starpeak</t>
        </is>
      </c>
      <c r="F231" s="2" t="inlineStr">
        <is>
          <t>UK private equity firm August Equity agreed to invest in Starpeak, a digital insurance distributor focused on niche SME and personal-lines segments, backing its next growth phase.</t>
        </is>
      </c>
      <c r="G231" s="2" t="inlineStr">
        <is>
          <t>FinTech Global</t>
        </is>
      </c>
      <c r="H231" s="2" t="inlineStr">
        <is>
          <t>https://fintech.global/2026/08/21/august-equity-backs-insurtech-mga-starpeak/</t>
        </is>
      </c>
      <c r="I231" s="2" t="inlineStr">
        <is>
          <t>2026-08-21</t>
        </is>
      </c>
    </row>
    <row r="232">
      <c r="A232" s="2" t="inlineStr">
        <is>
          <t>2026-08-24</t>
        </is>
      </c>
      <c r="B232" s="2" t="inlineStr">
        <is>
          <t>FinTech</t>
        </is>
      </c>
      <c r="C232" s="2" t="inlineStr">
        <is>
          <t>Technology &amp; AI</t>
        </is>
      </c>
      <c r="D232" s="2" t="inlineStr">
        <is>
          <t>Global</t>
        </is>
      </c>
      <c r="E232" s="2" t="inlineStr">
        <is>
          <t>Embedded finance moves into a more predictive, AI-driven phase</t>
        </is>
      </c>
      <c r="F232" s="2" t="inlineStr">
        <is>
          <t>Analysts say embedded finance is shifting from simply placing financial products inside other platforms toward AI-driven tools that anticipate customer needs, with the global market projected to grow from about $94 billion in 2025 to over $115 billion in 2026.</t>
        </is>
      </c>
      <c r="G232" s="2" t="inlineStr">
        <is>
          <t>FinTech Global</t>
        </is>
      </c>
      <c r="H232" s="2" t="inlineStr">
        <is>
          <t>https://fintech.global/2026/08/21/embedded-finance-enters-its-next-phase-of-growth/</t>
        </is>
      </c>
      <c r="I232" s="2" t="inlineStr">
        <is>
          <t>2026-08-21</t>
        </is>
      </c>
    </row>
    <row r="233">
      <c r="A233" s="2" t="inlineStr">
        <is>
          <t>2026-08-24</t>
        </is>
      </c>
      <c r="B233" s="2" t="inlineStr">
        <is>
          <t>Investments</t>
        </is>
      </c>
      <c r="C233" s="2" t="inlineStr">
        <is>
          <t>Market Economics</t>
        </is>
      </c>
      <c r="D233" s="2" t="inlineStr">
        <is>
          <t>APAC</t>
        </is>
      </c>
      <c r="E233" s="2" t="inlineStr">
        <is>
          <t>Ping An's first-half profit surges 36% as China's market rally lifts asset management income</t>
        </is>
      </c>
      <c r="F233" s="2" t="inlineStr">
        <is>
          <t>Ping An Insurance reported a better-than-expected 36% year-on-year rise in first-half net profit, as a rally in mainland Chinese equities boosted fee income and investment gains within its asset management business.</t>
        </is>
      </c>
      <c r="G233" s="2" t="inlineStr">
        <is>
          <t>Nikkei Asia</t>
        </is>
      </c>
      <c r="H233" s="2" t="inlineStr">
        <is>
          <t>https://asia.nikkei.com/business/insurance/ping-an-insurance-s-first-half-profit-jumps-36-on-asset-management-boost</t>
        </is>
      </c>
      <c r="I233" s="2" t="inlineStr">
        <is>
          <t>2026-08-21</t>
        </is>
      </c>
    </row>
    <row r="234">
      <c r="A234" s="2" t="inlineStr">
        <is>
          <t>2026-08-26</t>
        </is>
      </c>
      <c r="B234" s="2" t="inlineStr">
        <is>
          <t>Brokers &amp; MGA/GA</t>
        </is>
      </c>
      <c r="C234" s="2" t="inlineStr">
        <is>
          <t>M&amp;A</t>
        </is>
      </c>
      <c r="D234" s="2" t="inlineStr">
        <is>
          <t>APAC</t>
        </is>
      </c>
      <c r="E234" s="2" t="inlineStr">
        <is>
          <t>Australia's Steadfast agrees to $5.5 billion buyout by KKR-backed consortium</t>
        </is>
      </c>
      <c r="F234" s="2" t="inlineStr">
        <is>
          <t>Steadfast Group agreed to an A$7.7 billion buyout by a consortium of KKR, Amwins Group and Dragoneer Investment Group, with Amwins taking the underwriting agency business and Dragoneer the broking operations; shareholders get A$6 per share, a roughly 52% premium, with completion targeted for December 2026.</t>
        </is>
      </c>
      <c r="G234" s="2" t="inlineStr">
        <is>
          <t>Reuters via Investing.com</t>
        </is>
      </c>
      <c r="H234" s="2" t="inlineStr">
        <is>
          <t>https://www.investing.com/news/stock-market-news/australias-steadfast-agrees-to-551-billion-buyout-bid-by-kkrbacked-consortium-4871174</t>
        </is>
      </c>
      <c r="I234" s="2" t="inlineStr">
        <is>
          <t>2026-08-21</t>
        </is>
      </c>
    </row>
    <row r="235">
      <c r="A235" s="2" t="inlineStr">
        <is>
          <t>2026-08-27</t>
        </is>
      </c>
      <c r="B235" s="2" t="inlineStr">
        <is>
          <t>Brokers &amp; MGA/GA</t>
        </is>
      </c>
      <c r="C235" s="2" t="inlineStr">
        <is>
          <t>People &amp; Leadership</t>
        </is>
      </c>
      <c r="D235" s="2" t="inlineStr">
        <is>
          <t>APAC</t>
        </is>
      </c>
      <c r="E235" s="2" t="inlineStr">
        <is>
          <t>Aon poaches Marsh's Southeast Asia chief executive</t>
        </is>
      </c>
      <c r="F235" s="2" t="inlineStr">
        <is>
          <t>Aon hired Godelieve van Dooren, Marsh's Singapore-based chief executive for Southeast Asia, succeeding Andrew Minitt, who left earlier this year to lead The Ardonagh Group's Asia business.</t>
        </is>
      </c>
      <c r="G235" s="2" t="inlineStr">
        <is>
          <t>InsuranceAsiaNews</t>
        </is>
      </c>
      <c r="H235" s="2" t="inlineStr">
        <is>
          <t>https://insuranceasianews.com/aon-zurich-marsh-aig-allianz-trade-19-apac-insurance-people-moves-of-the-week/</t>
        </is>
      </c>
      <c r="I235" s="2" t="inlineStr">
        <is>
          <t>2026-08-21</t>
        </is>
      </c>
    </row>
    <row r="236">
      <c r="A236" s="2" t="inlineStr">
        <is>
          <t>2026-08-27</t>
        </is>
      </c>
      <c r="B236" s="2" t="inlineStr">
        <is>
          <t>Healthcare / Provider &amp; Clinical</t>
        </is>
      </c>
      <c r="C236" s="2" t="inlineStr">
        <is>
          <t>M&amp;A</t>
        </is>
      </c>
      <c r="D236" s="2" t="inlineStr">
        <is>
          <t>United States</t>
        </is>
      </c>
      <c r="E236" s="2" t="inlineStr">
        <is>
          <t>Maine regulators approve York Hospital's merger into MaineHealth</t>
        </is>
      </c>
      <c r="F236" s="2" t="inlineStr">
        <is>
          <t>State regulators approved York Hospital's merger with MaineHealth after the community hospital said financial strain, including an $11 million operating loss, left it unable to keep operating independently.</t>
        </is>
      </c>
      <c r="G236" s="2" t="inlineStr">
        <is>
          <t>The Maine Wire</t>
        </is>
      </c>
      <c r="H236" s="2" t="inlineStr">
        <is>
          <t>https://www.themainewire.com/2026/08/state-regulators-approve-merger-of-york-hospital-with-mainehealth/</t>
        </is>
      </c>
      <c r="I236" s="2" t="inlineStr">
        <is>
          <t>2026-08-21</t>
        </is>
      </c>
    </row>
    <row r="237">
      <c r="A237" s="2" t="inlineStr">
        <is>
          <t>2026-08-26</t>
        </is>
      </c>
      <c r="B237" s="2" t="inlineStr">
        <is>
          <t>Healthcare / Provider &amp; Clinical</t>
        </is>
      </c>
      <c r="C237" s="2" t="inlineStr">
        <is>
          <t>Technology &amp; AI</t>
        </is>
      </c>
      <c r="D237" s="2" t="inlineStr">
        <is>
          <t>APAC</t>
        </is>
      </c>
      <c r="E237" s="2" t="inlineStr">
        <is>
          <t>HIMSS and SingHealth host APAC Health Conference in Singapore to accelerate AI-enabled care</t>
        </is>
      </c>
      <c r="F237" s="2" t="inlineStr">
        <is>
          <t>HIMSS and SingHealth co-hosted the 2026 HIMSS APAC Health Conference &amp; Exhibition Aug. 23-25 in Singapore, gathering health ministries and digital-health leaders from South Korea, Australia and across the region around clinical AI, smart hospitals and interoperability.</t>
        </is>
      </c>
      <c r="G237" s="2" t="inlineStr">
        <is>
          <t>HIMSS</t>
        </is>
      </c>
      <c r="H237" s="2" t="inlineStr">
        <is>
          <t>https://www.himss.org/news-center/himss-and-singhealth-to-co-host-2026-himss-apac-health-conference-and-exhibition-in-singapore-bringing-together-global-leaders-to-accelerate-ai-enabled-healthcare-transformation/</t>
        </is>
      </c>
      <c r="I237" s="2" t="inlineStr">
        <is>
          <t>2026-08-23</t>
        </is>
      </c>
    </row>
    <row r="238">
      <c r="A238" s="2" t="inlineStr">
        <is>
          <t>2026-08-25</t>
        </is>
      </c>
      <c r="B238" s="2" t="inlineStr">
        <is>
          <t>Brokers &amp; MGA/GA</t>
        </is>
      </c>
      <c r="C238" s="2" t="inlineStr">
        <is>
          <t>M&amp;A</t>
        </is>
      </c>
      <c r="D238" s="2" t="inlineStr">
        <is>
          <t>UK/Europe</t>
        </is>
      </c>
      <c r="E238" s="2" t="inlineStr">
        <is>
          <t>Clear Group and ANV strike back-to-back UK broker and MGA acquisitions</t>
        </is>
      </c>
      <c r="F238" s="2" t="inlineStr">
        <is>
          <t>Clear Group agreed to buy Lloyd's wholesale broker Newman Pearce &amp; Partners while ANV Group struck a deal to acquire Car Care Plan, a UK motor-warranty MGA, from AmTrust, in a busy week of London-market consolidation.</t>
        </is>
      </c>
      <c r="G238" s="2" t="inlineStr">
        <is>
          <t>Insurance Journal</t>
        </is>
      </c>
      <c r="H238" s="2" t="inlineStr">
        <is>
          <t>https://www.insurancejournal.com/news/international/2026/08/24/882639.htm</t>
        </is>
      </c>
      <c r="I238" s="2" t="inlineStr">
        <is>
          <t>2026-08-24</t>
        </is>
      </c>
    </row>
    <row r="239">
      <c r="A239" s="2" t="inlineStr">
        <is>
          <t>2026-08-30</t>
        </is>
      </c>
      <c r="B239" s="2" t="inlineStr">
        <is>
          <t>Insurtech</t>
        </is>
      </c>
      <c r="C239" s="2" t="inlineStr">
        <is>
          <t>Technology &amp; AI</t>
        </is>
      </c>
      <c r="D239" s="2" t="inlineStr">
        <is>
          <t>United States</t>
        </is>
      </c>
      <c r="E239" s="2" t="inlineStr">
        <is>
          <t>Carpe launches Minerva Reasoning Engine to help small commercial insurers underwrite profitably</t>
        </is>
      </c>
      <c r="F239" s="2" t="inlineStr">
        <is>
          <t>AI-native data specialist Carpe introduced its Minerva Reasoning Engine, an underwriting tool aimed specifically at helping small commercial insurers price risk more profitably.</t>
        </is>
      </c>
      <c r="G239" s="2" t="inlineStr">
        <is>
          <t>FinTech Global</t>
        </is>
      </c>
      <c r="H239" s="2" t="inlineStr">
        <is>
          <t>https://fintech.global/2026/08/24/carpe-launches-ai-underwriting-tool-for-insurers/</t>
        </is>
      </c>
      <c r="I239" s="2" t="inlineStr">
        <is>
          <t>2026-08-24</t>
        </is>
      </c>
    </row>
    <row r="240">
      <c r="A240" s="2" t="inlineStr">
        <is>
          <t>2026-08-30</t>
        </is>
      </c>
      <c r="B240" s="2" t="inlineStr">
        <is>
          <t>Property &amp; Casualty</t>
        </is>
      </c>
      <c r="C240" s="2" t="inlineStr">
        <is>
          <t>People &amp; Leadership</t>
        </is>
      </c>
      <c r="D240" s="2" t="inlineStr">
        <is>
          <t>United States</t>
        </is>
      </c>
      <c r="E240" s="2" t="inlineStr">
        <is>
          <t>GEICO names Nancy Pierce CEO as insurance leadership shuffle continues</t>
        </is>
      </c>
      <c r="F240" s="2" t="inlineStr">
        <is>
          <t>GEICO appointed Nancy L. Pierce as chief executive, one of several August leadership changes across the industry that also saw Boston Mutual Life name Grant David Ward CEO and Conduit Holdings name Mark Pickering as incoming CFO.</t>
        </is>
      </c>
      <c r="G240" s="2" t="inlineStr">
        <is>
          <t>Insurance Edge</t>
        </is>
      </c>
      <c r="H240" s="2" t="inlineStr">
        <is>
          <t>https://insurance-edge.net/2026/08/24/job-moves-and-senior-appointments-24-08-2026/</t>
        </is>
      </c>
      <c r="I240" s="2" t="inlineStr">
        <is>
          <t>2026-08-24</t>
        </is>
      </c>
    </row>
    <row r="241">
      <c r="A241" s="2" t="inlineStr">
        <is>
          <t>2026-08-29</t>
        </is>
      </c>
      <c r="B241" s="2" t="inlineStr">
        <is>
          <t>TPA</t>
        </is>
      </c>
      <c r="C241" s="2" t="inlineStr">
        <is>
          <t>Market Economics</t>
        </is>
      </c>
      <c r="D241" s="2" t="inlineStr">
        <is>
          <t>United States</t>
        </is>
      </c>
      <c r="E241" s="2" t="inlineStr">
        <is>
          <t>Rising costs push employers to lean harder on broker-TPA partnerships</t>
        </is>
      </c>
      <c r="F241" s="2" t="inlineStr">
        <is>
          <t>Employee Benefit News reports that rising healthcare costs and limited internal HR capacity are driving employers to demand stronger broker-TPA partnerships capable of executing complex cost-containment strategies, as TPAs take on expanded analytics and compliance roles.</t>
        </is>
      </c>
      <c r="G241" s="2" t="inlineStr">
        <is>
          <t>Employee Benefit News</t>
        </is>
      </c>
      <c r="H241" s="2" t="inlineStr">
        <is>
          <t>https://www.benefitnews.com/news/forging-stronger-broker-tpa-partnerships</t>
        </is>
      </c>
      <c r="I241" s="2" t="inlineStr">
        <is>
          <t>2026-08-25</t>
        </is>
      </c>
    </row>
    <row r="242">
      <c r="A242" s="2" t="inlineStr">
        <is>
          <t>2026-08-29</t>
        </is>
      </c>
      <c r="B242" s="2" t="inlineStr">
        <is>
          <t>Wealth Management</t>
        </is>
      </c>
      <c r="C242" s="2" t="inlineStr">
        <is>
          <t>People &amp; Leadership</t>
        </is>
      </c>
      <c r="D242" s="2" t="inlineStr">
        <is>
          <t>United States</t>
        </is>
      </c>
      <c r="E242" s="2" t="inlineStr">
        <is>
          <t>RIA channel keeps pulling senior talent from banking and asset management</t>
        </is>
      </c>
      <c r="F242" s="2" t="inlineStr">
        <is>
          <t>Three wealth management firms announced senior hires spanning investment banking, alternative investment distribution and sports and entertainment wealth management, including Guggenheim Securities naming Blake Jones a senior managing director focused on M&amp;A involving RIAs and broker-dealers.</t>
        </is>
      </c>
      <c r="G242" s="2" t="inlineStr">
        <is>
          <t>InvestmentNews</t>
        </is>
      </c>
      <c r="H242" s="2" t="inlineStr">
        <is>
          <t>https://www.investmentnews.com/ria-news/people-moves-ria-channel-draws-senior-talent-across-wealth-management-ecosystem/267823</t>
        </is>
      </c>
      <c r="I242" s="2" t="inlineStr">
        <is>
          <t>2026-08-25</t>
        </is>
      </c>
    </row>
    <row r="243">
      <c r="A243" s="2" t="inlineStr">
        <is>
          <t>2026-09-01</t>
        </is>
      </c>
      <c r="B243" s="2" t="inlineStr">
        <is>
          <t>Brokers &amp; MGA/GA</t>
        </is>
      </c>
      <c r="C243" s="2" t="inlineStr">
        <is>
          <t>M&amp;A</t>
        </is>
      </c>
      <c r="D243" s="2" t="inlineStr">
        <is>
          <t>United States</t>
        </is>
      </c>
      <c r="E243" s="2" t="inlineStr">
        <is>
          <t>Willis Re to acquire BMS Group's US reinsurance division</t>
        </is>
      </c>
      <c r="F243" s="2" t="inlineStr">
        <is>
          <t>Willis Re agreed to buy the US reinsurance broking and capital-advisory business of BMS Group, including its catastrophe bond and ILS team, marking Willis Re's first major deal since its relaunch.</t>
        </is>
      </c>
      <c r="G243" s="2" t="inlineStr">
        <is>
          <t>Business Insurance</t>
        </is>
      </c>
      <c r="H243" s="2" t="inlineStr">
        <is>
          <t>https://www.businessinsurance.com/willis-re-to-buy-us-division-of-bms-re/</t>
        </is>
      </c>
      <c r="I243" s="2" t="inlineStr">
        <is>
          <t>2026-08-25</t>
        </is>
      </c>
    </row>
    <row r="244">
      <c r="A244" s="2" t="inlineStr">
        <is>
          <t>2026-09-02</t>
        </is>
      </c>
      <c r="B244" s="2" t="inlineStr">
        <is>
          <t>Wealth Management</t>
        </is>
      </c>
      <c r="C244" s="2" t="inlineStr">
        <is>
          <t>M&amp;A</t>
        </is>
      </c>
      <c r="D244" s="2" t="inlineStr">
        <is>
          <t>United States</t>
        </is>
      </c>
      <c r="E244" s="2" t="inlineStr">
        <is>
          <t>Sequoia Financial expands in Colorado with $2.3 billion RIA acquisition</t>
        </is>
      </c>
      <c r="F244" s="2" t="inlineStr">
        <is>
          <t>Akron-based Sequoia Financial Group, which manages $34.9 billion in assets, acquired Colorado registered investment advisor BSW Wealth Partners in its latest consolidation move.</t>
        </is>
      </c>
      <c r="G244" s="2" t="inlineStr">
        <is>
          <t>WealthManagement.com</t>
        </is>
      </c>
      <c r="H244" s="2" t="inlineStr">
        <is>
          <t>https://www.wealthmanagement.com/ria-news/sequoia-financial-acquires-2-3b-ria-bsw-wealth-partners-deepening-colorado-presence</t>
        </is>
      </c>
      <c r="I244" s="2" t="inlineStr">
        <is>
          <t>2026-08-25</t>
        </is>
      </c>
    </row>
    <row r="245">
      <c r="A245" s="2" t="inlineStr">
        <is>
          <t>2026-09-05</t>
        </is>
      </c>
      <c r="B245" s="2" t="inlineStr">
        <is>
          <t>Insurtech</t>
        </is>
      </c>
      <c r="C245" s="2" t="inlineStr">
        <is>
          <t>Regulatory &amp; Policy</t>
        </is>
      </c>
      <c r="D245" s="2" t="inlineStr">
        <is>
          <t>APAC</t>
        </is>
      </c>
      <c r="E245" s="2" t="inlineStr">
        <is>
          <t>China tightens algorithm-governance expectations for AI-driven insurance pricing and claims</t>
        </is>
      </c>
      <c r="F245" s="2" t="inlineStr">
        <is>
          <t>Chinese regulators are pushing insurers toward "algorithm governance," requiring that AI-driven pricing and underwriting models be transparent, explainable, and free of discriminatory bias, while barring insurers from offloading core management responsibility to third-party tech vendors.</t>
        </is>
      </c>
      <c r="G245" s="2" t="inlineStr">
        <is>
          <t>InsuranceIndustry.ai</t>
        </is>
      </c>
      <c r="H245" s="2" t="inlineStr">
        <is>
          <t>https://insuranceindustry.ai/six-regulators-six-answers-the-ai-insurance-governance-map-nobodys-drawn/</t>
        </is>
      </c>
      <c r="I245" s="2" t="inlineStr">
        <is>
          <t>2026-08-25</t>
        </is>
      </c>
    </row>
    <row r="246">
      <c r="A246" s="2" t="inlineStr">
        <is>
          <t>2026-08-27</t>
        </is>
      </c>
      <c r="B246" s="2" t="inlineStr">
        <is>
          <t>Life &amp; Annuities</t>
        </is>
      </c>
      <c r="C246" s="2" t="inlineStr">
        <is>
          <t>Market Economics</t>
        </is>
      </c>
      <c r="D246" s="2" t="inlineStr">
        <is>
          <t>UK/Europe</t>
        </is>
      </c>
      <c r="E246" s="2" t="inlineStr">
        <is>
          <t>M&amp;G shares steady as insurer sets sights on annual bulk annuity sales growth</t>
        </is>
      </c>
      <c r="F246" s="2" t="inlineStr">
        <is>
          <t>M&amp;G's stock held firm in late August as the insurer pushes deeper into the UK bulk annuity market, targeting £3-4 billion in annual sales by 2027 while investors watch for stabilization in its asset management arm.</t>
        </is>
      </c>
      <c r="G246" s="2" t="inlineStr">
        <is>
          <t>AD-HOC-NEWS</t>
        </is>
      </c>
      <c r="H246" s="2" t="inlineStr">
        <is>
          <t>https://www.ad-hoc-news.de/boerse/news/corporate-news/m-and-g-stock-holds-its-ground-as-annuity-growth-targets-support-the/70004080</t>
        </is>
      </c>
      <c r="I246" s="2" t="inlineStr">
        <is>
          <t>2026-08-26</t>
        </is>
      </c>
    </row>
    <row r="247">
      <c r="A247" s="2" t="inlineStr">
        <is>
          <t>2026-08-27</t>
        </is>
      </c>
      <c r="B247" s="2" t="inlineStr">
        <is>
          <t>Retirement</t>
        </is>
      </c>
      <c r="C247" s="2" t="inlineStr">
        <is>
          <t>Investments &amp; Funding</t>
        </is>
      </c>
      <c r="D247" s="2" t="inlineStr">
        <is>
          <t>United States</t>
        </is>
      </c>
      <c r="E247" s="2" t="inlineStr">
        <is>
          <t>Principal expands its 401(k) platform to private-market investment strategies</t>
        </is>
      </c>
      <c r="F247" s="2" t="inlineStr">
        <is>
          <t>Principal broadened its Featured Partner Programme so asset managers including Apollo, Blackstone, KKR and Carlyle can offer private-market strategies inside target-date and target-risk collective investment trusts on its recordkeeping platform.</t>
        </is>
      </c>
      <c r="G247" s="2" t="inlineStr">
        <is>
          <t>Alternative Credit Investor</t>
        </is>
      </c>
      <c r="H247" s="2" t="inlineStr">
        <is>
          <t>https://alternativecreditinvestor.com/2026/08/26/principal-opens-401k-plans-to-private-markets/</t>
        </is>
      </c>
      <c r="I247" s="2" t="inlineStr">
        <is>
          <t>2026-08-26</t>
        </is>
      </c>
    </row>
    <row r="248">
      <c r="A248" s="2" t="inlineStr">
        <is>
          <t>2026-08-27</t>
        </is>
      </c>
      <c r="B248" s="2" t="inlineStr">
        <is>
          <t>Wealth Management</t>
        </is>
      </c>
      <c r="C248" s="2" t="inlineStr">
        <is>
          <t>M&amp;A</t>
        </is>
      </c>
      <c r="D248" s="2" t="inlineStr">
        <is>
          <t>United States</t>
        </is>
      </c>
      <c r="E248" s="2" t="inlineStr">
        <is>
          <t>Vanguard agrees to acquire wealthtech custodian Altruist</t>
        </is>
      </c>
      <c r="F248" s="2" t="inlineStr">
        <is>
          <t>Vanguard signed a definitive agreement to acquire Altruist, an AI-forward wealth technology and custody platform for advisors, in a deal reported at roughly $4-4.6 billion; Altruist is expected to keep operating under its own brand.</t>
        </is>
      </c>
      <c r="G248" s="2" t="inlineStr">
        <is>
          <t>PR Newswire</t>
        </is>
      </c>
      <c r="H248" s="2" t="inlineStr">
        <is>
          <t>https://www.prnewswire.com/news-releases/vanguard-to-acquire-altruist-expanding-the-reach-and-impact-of-financial-advice-302860536.html</t>
        </is>
      </c>
      <c r="I248" s="2" t="inlineStr">
        <is>
          <t>2026-08-26</t>
        </is>
      </c>
    </row>
    <row r="249">
      <c r="A249" s="2" t="inlineStr">
        <is>
          <t>2026-08-29</t>
        </is>
      </c>
      <c r="B249" s="2" t="inlineStr">
        <is>
          <t>Property &amp; Casualty</t>
        </is>
      </c>
      <c r="C249" s="2" t="inlineStr">
        <is>
          <t>Market Economics</t>
        </is>
      </c>
      <c r="D249" s="2" t="inlineStr">
        <is>
          <t>United States</t>
        </is>
      </c>
      <c r="E249" s="2" t="inlineStr">
        <is>
          <t>State Farm begins distributing promised $5 billion in policyholder dividends</t>
        </is>
      </c>
      <c r="F249" s="2" t="inlineStr">
        <is>
          <t>State Farm started distributing $5 billion in previously announced dividends to eligible policyholders, part of the mutual insurer's broader capital-return efforts detailed in PropertyCasualty360's industry roundup.</t>
        </is>
      </c>
      <c r="G249" s="2" t="inlineStr">
        <is>
          <t>PropertyCasualty360</t>
        </is>
      </c>
      <c r="H249" s="2" t="inlineStr">
        <is>
          <t>https://www.propertycasualty360.com/2026/08/26/around-the-pc-insurance-industry-august-26-2026/</t>
        </is>
      </c>
      <c r="I249" s="2" t="inlineStr">
        <is>
          <t>2026-08-26</t>
        </is>
      </c>
    </row>
    <row r="250">
      <c r="A250" s="2" t="inlineStr">
        <is>
          <t>2026-09-02</t>
        </is>
      </c>
      <c r="B250" s="2" t="inlineStr">
        <is>
          <t>FinTech</t>
        </is>
      </c>
      <c r="C250" s="2" t="inlineStr">
        <is>
          <t>Regulatory &amp; Policy</t>
        </is>
      </c>
      <c r="D250" s="2" t="inlineStr">
        <is>
          <t>Global</t>
        </is>
      </c>
      <c r="E250" s="2" t="inlineStr">
        <is>
          <t>Embedded finance's growth collides with a regulatory reckoning</t>
        </is>
      </c>
      <c r="F250" s="2" t="inlineStr">
        <is>
          <t>As embedded finance and insurance partnerships proliferate, regulators are increasing scrutiny of sponsor-bank and fintech partnerships, with compliance violations already costing many sponsor banks over $100,000 each.</t>
        </is>
      </c>
      <c r="G250" s="2" t="inlineStr">
        <is>
          <t>FinTech Global</t>
        </is>
      </c>
      <c r="H250" s="2" t="inlineStr">
        <is>
          <t>https://fintech.global/2026/08/26/embedded-finance-boom-collides-with-regulatory-reckoning/</t>
        </is>
      </c>
      <c r="I250" s="2" t="inlineStr">
        <is>
          <t>2026-08-26</t>
        </is>
      </c>
    </row>
    <row r="251">
      <c r="A251" s="2" t="inlineStr">
        <is>
          <t>2026-08-30</t>
        </is>
      </c>
      <c r="B251" s="2" t="inlineStr">
        <is>
          <t>Life &amp; Annuities</t>
        </is>
      </c>
      <c r="C251" s="2" t="inlineStr">
        <is>
          <t>Market Economics</t>
        </is>
      </c>
      <c r="D251" s="2" t="inlineStr">
        <is>
          <t>United States</t>
        </is>
      </c>
      <c r="E251" s="2" t="inlineStr">
        <is>
          <t>Top MYGA fixed annuity rates push above 7% in late August</t>
        </is>
      </c>
      <c r="F251" s="2" t="inlineStr">
        <is>
          <t>The best available multi-year guaranteed annuity rate reached 7.20% simple interest (6.40% compound) on select terms as of August 27, with every rate change that week moving up rather than down even as the Federal Reserve holds a wait-and-see stance.</t>
        </is>
      </c>
      <c r="G251" s="2" t="inlineStr">
        <is>
          <t>MyAnnuityStore</t>
        </is>
      </c>
      <c r="H251" s="2" t="inlineStr">
        <is>
          <t>https://myannuitystore.com/annuity-rates/fixed-annuity-rates/</t>
        </is>
      </c>
      <c r="I251" s="2" t="inlineStr">
        <is>
          <t>2026-08-27</t>
        </is>
      </c>
    </row>
    <row r="252">
      <c r="A252" s="2" t="inlineStr">
        <is>
          <t>2026-08-31</t>
        </is>
      </c>
      <c r="B252" s="2" t="inlineStr">
        <is>
          <t>Brokers &amp; MGA/GA</t>
        </is>
      </c>
      <c r="C252" s="2" t="inlineStr">
        <is>
          <t>M&amp;A</t>
        </is>
      </c>
      <c r="D252" s="2" t="inlineStr">
        <is>
          <t>United States</t>
        </is>
      </c>
      <c r="E252" s="2" t="inlineStr">
        <is>
          <t>Higginbotham joins forces with Two West Capital Advisors to grow retirement plan business</t>
        </is>
      </c>
      <c r="F252" s="2" t="inlineStr">
        <is>
          <t>The Fort Worth-based brokerage, ranked 16th-largest in the US, is bringing the Kansas City retirement-plan consulting and wealth management firm's team into its retirement and wealth division, with Two West staying in Kansas City as employee-owners of Higginbotham.</t>
        </is>
      </c>
      <c r="G252" s="2" t="inlineStr">
        <is>
          <t>PR Newswire</t>
        </is>
      </c>
      <c r="H252" s="2" t="inlineStr">
        <is>
          <t>https://www.prnewswire.com/news-releases/higginbotham-joins-forces-with-two-west-capital-advisors-to-grow-retirement-plan-business-across-the-footprint-302861338.html</t>
        </is>
      </c>
      <c r="I252" s="2" t="inlineStr">
        <is>
          <t>2026-08-27</t>
        </is>
      </c>
    </row>
    <row r="253">
      <c r="A253" s="2" t="inlineStr">
        <is>
          <t>2026-08-31</t>
        </is>
      </c>
      <c r="B253" s="2" t="inlineStr">
        <is>
          <t>Healthcare / Provider &amp; Clinical</t>
        </is>
      </c>
      <c r="C253" s="2" t="inlineStr">
        <is>
          <t>Technology &amp; AI</t>
        </is>
      </c>
      <c r="D253" s="2" t="inlineStr">
        <is>
          <t>Global</t>
        </is>
      </c>
      <c r="E253" s="2" t="inlineStr">
        <is>
          <t>Clinician AI use triples as 74% of doctors and 70% of nurses adopt weekly</t>
        </is>
      </c>
      <c r="F253" s="2" t="inlineStr">
        <is>
          <t>A new report finds daily multiple-times-per-day AI use has tripled among doctors and doubled among nurses since 2025, driven by generative AI breakthroughs, near-universal EHR adoption and surging institutional investment in cognitive-computing infrastructure.</t>
        </is>
      </c>
      <c r="G253" s="2" t="inlineStr">
        <is>
          <t>GlobeNewswire</t>
        </is>
      </c>
      <c r="H253" s="2" t="inlineStr">
        <is>
          <t>https://www.globenewswire.com/news-release/2026/08/27/3352238/0/en/ai-disruption-in-healthcare-cognitive-computing-attracts-record-investment-as-foundation-models-and-generative-ai-reshape-clinical-workflows.html</t>
        </is>
      </c>
      <c r="I253" s="2" t="inlineStr">
        <is>
          <t>2026-08-27</t>
        </is>
      </c>
    </row>
    <row r="254">
      <c r="A254" s="2" t="inlineStr">
        <is>
          <t>2026-08-31</t>
        </is>
      </c>
      <c r="B254" s="2" t="inlineStr">
        <is>
          <t>Health Insurance / Payer</t>
        </is>
      </c>
      <c r="C254" s="2" t="inlineStr">
        <is>
          <t>Market Economics</t>
        </is>
      </c>
      <c r="D254" s="2" t="inlineStr">
        <is>
          <t>United States</t>
        </is>
      </c>
      <c r="E254" s="2" t="inlineStr">
        <is>
          <t>NewYork-Presbyterian and UnitedHealthcare Medicare Advantage contract set to lapse August 31</t>
        </is>
      </c>
      <c r="F254" s="2" t="inlineStr">
        <is>
          <t>After repeated extensions since a January deadline, the hospital system and insurer face an August 31 cutoff that would push most UnitedHealthcare Medicare Advantage members out of network, part of a wider pattern of health-system/payer contract breaks in 2026.</t>
        </is>
      </c>
      <c r="G254" s="2" t="inlineStr">
        <is>
          <t>CBS News New York</t>
        </is>
      </c>
      <c r="H254" s="2" t="inlineStr">
        <is>
          <t>https://www.cbsnews.com/newyork/news/unitedhealthcare-newyork-presbyterian-medicare-advantage/</t>
        </is>
      </c>
      <c r="I254" s="2" t="inlineStr">
        <is>
          <t>2026-08-28</t>
        </is>
      </c>
    </row>
    <row r="255">
      <c r="A255" s="2" t="inlineStr">
        <is>
          <t>2026-09-01</t>
        </is>
      </c>
      <c r="B255" s="2" t="inlineStr">
        <is>
          <t>Property &amp; Casualty</t>
        </is>
      </c>
      <c r="C255" s="2" t="inlineStr">
        <is>
          <t>Market Economics</t>
        </is>
      </c>
      <c r="D255" s="2" t="inlineStr">
        <is>
          <t>Global</t>
        </is>
      </c>
      <c r="E255" s="2" t="inlineStr">
        <is>
          <t>Catastrophe bond issuance hits record $24.9 billion as alternative capital tops $144 billion</t>
        </is>
      </c>
      <c r="F255" s="2" t="inlineStr">
        <is>
          <t>Aon's latest Insurance-Linked Securities report shows catastrophe bond issuance reached an all-time high of $24.9 billion over the year to June 30, 2026, pushing total alternative reinsurance capital to a record $144.5 billion.</t>
        </is>
      </c>
      <c r="G255" s="2" t="inlineStr">
        <is>
          <t>Aon</t>
        </is>
      </c>
      <c r="H255" s="2" t="inlineStr">
        <is>
          <t>https://aon.mediaroom.com/2026-08-28-ILS-Becomes-Foundational-Reinsurance-Capital-as-Sector-Reaches-New-Heights-Aon-Report</t>
        </is>
      </c>
      <c r="I255" s="2" t="inlineStr">
        <is>
          <t>2026-08-28</t>
        </is>
      </c>
    </row>
    <row r="256">
      <c r="A256" s="2" t="inlineStr">
        <is>
          <t>2026-09-05</t>
        </is>
      </c>
      <c r="B256" s="2" t="inlineStr">
        <is>
          <t>Wealth Management</t>
        </is>
      </c>
      <c r="C256" s="2" t="inlineStr">
        <is>
          <t>Investments &amp; Funding</t>
        </is>
      </c>
      <c r="D256" s="2" t="inlineStr">
        <is>
          <t>India</t>
        </is>
      </c>
      <c r="E256" s="2" t="inlineStr">
        <is>
          <t>India's wealth management market on track to grow past $436 billion by 2034</t>
        </is>
      </c>
      <c r="F256" s="2" t="inlineStr">
        <is>
          <t>A new market report projects India's wealth management industry will grow at roughly a 10.6% annual rate through 2034, driven by a fast-growing high-net-worth population and a continued shift from physical to financial assets.</t>
        </is>
      </c>
      <c r="G256" s="2" t="inlineStr">
        <is>
          <t>openPR (market report)</t>
        </is>
      </c>
      <c r="H256" s="2" t="inlineStr">
        <is>
          <t>https://www.openpr.com/news/4602513/india-wealth-management-market-report-2026-2034-size-share</t>
        </is>
      </c>
      <c r="I256" s="2" t="inlineStr">
        <is>
          <t>2026-08-30</t>
        </is>
      </c>
    </row>
    <row r="257">
      <c r="A257" s="2" t="inlineStr">
        <is>
          <t>2026-09-02</t>
        </is>
      </c>
      <c r="B257" s="2" t="inlineStr">
        <is>
          <t>Brokers &amp; MGA/GA</t>
        </is>
      </c>
      <c r="C257" s="2" t="inlineStr">
        <is>
          <t>M&amp;A</t>
        </is>
      </c>
      <c r="D257" s="2" t="inlineStr">
        <is>
          <t>United States</t>
        </is>
      </c>
      <c r="E257" s="2" t="inlineStr">
        <is>
          <t>Aon agrees to buy rival broker USI from KKR for $17 billion</t>
        </is>
      </c>
      <c r="F257" s="2" t="inlineStr">
        <is>
          <t>Aon confirmed a deal to acquire middle-market insurance broker USI Insurance Services from KKR for about $17 billion including debt, aiming to build what CEO Greg Case called a "premier" US middle-market platform.</t>
        </is>
      </c>
      <c r="G257" s="2" t="inlineStr">
        <is>
          <t>Insurance Journal</t>
        </is>
      </c>
      <c r="H257" s="2" t="inlineStr">
        <is>
          <t>https://www.insurancejournal.com/news/national/2026/08/31/883334.htm</t>
        </is>
      </c>
      <c r="I257" s="2" t="inlineStr">
        <is>
          <t>2026-08-31</t>
        </is>
      </c>
    </row>
    <row r="258">
      <c r="A258" s="2" t="inlineStr">
        <is>
          <t>2026-09-04</t>
        </is>
      </c>
      <c r="B258" s="2" t="inlineStr">
        <is>
          <t>Brokers &amp; MGA/GA</t>
        </is>
      </c>
      <c r="C258" s="2" t="inlineStr">
        <is>
          <t>M&amp;A</t>
        </is>
      </c>
      <c r="D258" s="2" t="inlineStr">
        <is>
          <t>United States</t>
        </is>
      </c>
      <c r="E258" s="2" t="inlineStr">
        <is>
          <t>Aon agrees to buy broker USI from KKR in roughly $17 billion deal</t>
        </is>
      </c>
      <c r="F258" s="2" t="inlineStr">
        <is>
          <t>Aon announced it will acquire USI Insurance Services, the tenth-largest US insurance broker with about $3 billion in annual revenue, from private equity owner KKR for approximately $17 billion in cash, extending Aon's push into the US middle market following its 2024 purchase of NFP.</t>
        </is>
      </c>
      <c r="G258" s="2" t="inlineStr">
        <is>
          <t>Axios</t>
        </is>
      </c>
      <c r="H258" s="2" t="inlineStr">
        <is>
          <t>https://www.axios.com/2026/08/31/aon-17-billion-usi-kkr</t>
        </is>
      </c>
      <c r="I258" s="2" t="inlineStr">
        <is>
          <t>2026-08-31</t>
        </is>
      </c>
    </row>
    <row r="259">
      <c r="A259" s="2" t="inlineStr">
        <is>
          <t>2026-09-05</t>
        </is>
      </c>
      <c r="B259" s="2" t="inlineStr">
        <is>
          <t>Brokers &amp; MGA/GA</t>
        </is>
      </c>
      <c r="C259" s="2" t="inlineStr">
        <is>
          <t>M&amp;A</t>
        </is>
      </c>
      <c r="D259" s="2" t="inlineStr">
        <is>
          <t>United States</t>
        </is>
      </c>
      <c r="E259" s="2" t="inlineStr">
        <is>
          <t>Aon to acquire USI Insurance Services for $17 billion, forming a top US middle-market broker</t>
        </is>
      </c>
      <c r="F259" s="2" t="inlineStr">
        <is>
          <t>Aon signed a definitive agreement to buy USI Insurance Services from KKR for $17.0 billion, aiming to build the leading platform in the US middle-market segment; the deal is expected to close in the fourth quarter of 2026 and follows Aon's 2024 acquisition of NFP.</t>
        </is>
      </c>
      <c r="G259" s="2" t="inlineStr">
        <is>
          <t>Aon</t>
        </is>
      </c>
      <c r="H259" s="2" t="inlineStr">
        <is>
          <t>https://aon.mediaroom.com/2026-08-31-Aon-to-acquire-USI-to-establish-the-premier-U-S-middle-market-platform</t>
        </is>
      </c>
      <c r="I259" s="2" t="inlineStr">
        <is>
          <t>2026-08-31</t>
        </is>
      </c>
    </row>
    <row r="260">
      <c r="A260" s="2" t="inlineStr">
        <is>
          <t>2026-09-02</t>
        </is>
      </c>
      <c r="B260" s="2" t="inlineStr">
        <is>
          <t>Insurtech</t>
        </is>
      </c>
      <c r="C260" s="2" t="inlineStr">
        <is>
          <t>Regulatory &amp; Policy</t>
        </is>
      </c>
      <c r="D260" s="2" t="inlineStr">
        <is>
          <t>India</t>
        </is>
      </c>
      <c r="E260" s="2" t="inlineStr">
        <is>
          <t>IRDAI proposes a nationwide Public Insurance Registry to digitize India's insurance ecosystem</t>
        </is>
      </c>
      <c r="F260" s="2" t="inlineStr">
        <is>
          <t>India's insurance regulator released a consultation paper proposing a population-scale Public Insurance Registry connecting insurers, intermediaries, reinsurers and policyholders through a single interoperable digital framework.</t>
        </is>
      </c>
      <c r="G260" s="2" t="inlineStr">
        <is>
          <t>hi INDiA</t>
        </is>
      </c>
      <c r="H260" s="2" t="inlineStr">
        <is>
          <t>https://hiindia.com/irdai-proposes-public-insurance-registry-to-create-integrated-transparent-insurance-ecosystem/</t>
        </is>
      </c>
      <c r="I260" s="2" t="inlineStr">
        <is>
          <t>2026-09-01</t>
        </is>
      </c>
    </row>
    <row r="261">
      <c r="A261" s="2" t="inlineStr">
        <is>
          <t>2026-09-03</t>
        </is>
      </c>
      <c r="B261" s="2" t="inlineStr">
        <is>
          <t>Life &amp; Annuities</t>
        </is>
      </c>
      <c r="C261" s="2" t="inlineStr">
        <is>
          <t>Market Economics</t>
        </is>
      </c>
      <c r="D261" s="2" t="inlineStr">
        <is>
          <t>United States</t>
        </is>
      </c>
      <c r="E261" s="2" t="inlineStr">
        <is>
          <t>LIMRA and LOMA anchor September's Life Insurance Awareness Month with a coverage-gap push</t>
        </is>
      </c>
      <c r="F261" s="2" t="inlineStr">
        <is>
          <t>LIMRA and LOMA are running a public-education campaign this Life Insurance Awareness Month aimed at highlighting how underinsured many American households remain and encouraging more people to evaluate life coverage needs.</t>
        </is>
      </c>
      <c r="G261" s="2" t="inlineStr">
        <is>
          <t>LIMRA</t>
        </is>
      </c>
      <c r="H261" s="2" t="inlineStr">
        <is>
          <t>https://www.limra.com/en/newsroom/life-insurance-awareness-month-2026/</t>
        </is>
      </c>
      <c r="I261" s="2" t="inlineStr">
        <is>
          <t>2026-09-01</t>
        </is>
      </c>
    </row>
    <row r="262">
      <c r="A262" s="2" t="inlineStr">
        <is>
          <t>2026-09-03</t>
        </is>
      </c>
      <c r="B262" s="2" t="inlineStr">
        <is>
          <t>Property &amp; Casualty</t>
        </is>
      </c>
      <c r="C262" s="2" t="inlineStr">
        <is>
          <t>Market Economics</t>
        </is>
      </c>
      <c r="D262" s="2" t="inlineStr">
        <is>
          <t>Global</t>
        </is>
      </c>
      <c r="E262" s="2" t="inlineStr">
        <is>
          <t>Verisk raises average annual insured catastrophe loss estimate to $171 billion</t>
        </is>
      </c>
      <c r="F262" s="2" t="inlineStr">
        <is>
          <t>Verisk's latest catastrophe modeling puts expected global insured catastrophe losses at $171 billion annually, up $19 billion from a year ago, underscoring the growing capital cushion insurers need to absorb severe weather and other disaster risk.</t>
        </is>
      </c>
      <c r="G262" s="2" t="inlineStr">
        <is>
          <t>Insurance Journal</t>
        </is>
      </c>
      <c r="H262" s="2" t="inlineStr">
        <is>
          <t>https://www.insurancejournal.com/news/international/2026/09/01/883555.htm</t>
        </is>
      </c>
      <c r="I262" s="2" t="inlineStr">
        <is>
          <t>2026-09-01</t>
        </is>
      </c>
    </row>
    <row r="263">
      <c r="A263" s="2" t="inlineStr">
        <is>
          <t>2026-09-03</t>
        </is>
      </c>
      <c r="B263" s="2" t="inlineStr">
        <is>
          <t>Property &amp; Casualty</t>
        </is>
      </c>
      <c r="C263" s="2" t="inlineStr">
        <is>
          <t>People &amp; Leadership</t>
        </is>
      </c>
      <c r="D263" s="2" t="inlineStr">
        <is>
          <t>Global</t>
        </is>
      </c>
      <c r="E263" s="2" t="inlineStr">
        <is>
          <t>AIG names Nancy Bewlay global chief underwriting officer</t>
        </is>
      </c>
      <c r="F263" s="2" t="inlineStr">
        <is>
          <t>AIG named Nancy Bewlay as executive vice president and global chief underwriting officer, effective September 8, as the insurer continues refreshing its underwriting leadership team.</t>
        </is>
      </c>
      <c r="G263" s="2" t="inlineStr">
        <is>
          <t>Insurance Edge</t>
        </is>
      </c>
      <c r="H263" s="2" t="inlineStr">
        <is>
          <t>https://insurance-edge.net/2026/09/01/job-moves-and-senior-appointments-01-09-2026/</t>
        </is>
      </c>
      <c r="I263" s="2" t="inlineStr">
        <is>
          <t>2026-09-01</t>
        </is>
      </c>
    </row>
    <row r="264">
      <c r="A264" s="2" t="inlineStr">
        <is>
          <t>2026-09-04</t>
        </is>
      </c>
      <c r="B264" s="2" t="inlineStr">
        <is>
          <t>Healthcare / Provider &amp; Clinical</t>
        </is>
      </c>
      <c r="C264" s="2" t="inlineStr">
        <is>
          <t>Technology &amp; AI</t>
        </is>
      </c>
      <c r="D264" s="2" t="inlineStr">
        <is>
          <t>UK/Europe</t>
        </is>
      </c>
      <c r="E264" s="2" t="inlineStr">
        <is>
          <t>London NHS trust performs world-first AI-assisted brain surgery</t>
        </is>
      </c>
      <c r="F264" s="2" t="inlineStr">
        <is>
          <t>University College London Hospitals NHS Foundation Trust says it carried out the world's first brain operation guided by real-time AI analysis of the surgical video feed, helping the surgical team identify critical structures while removing a pituitary tumor from a 48-year-old patient.</t>
        </is>
      </c>
      <c r="G264" s="2" t="inlineStr">
        <is>
          <t>PublicTechnology</t>
        </is>
      </c>
      <c r="H264" s="2" t="inlineStr">
        <is>
          <t>https://www.publictechnology.net/2026/09/01/health-and-social-care/nhs-hospital-claims-world-first-ai-assisted-brain-surgery/</t>
        </is>
      </c>
      <c r="I264" s="2" t="inlineStr">
        <is>
          <t>2026-09-01</t>
        </is>
      </c>
    </row>
    <row r="265">
      <c r="A265" s="2" t="inlineStr">
        <is>
          <t>2026-09-04</t>
        </is>
      </c>
      <c r="B265" s="2" t="inlineStr">
        <is>
          <t>Retirement</t>
        </is>
      </c>
      <c r="C265" s="2" t="inlineStr">
        <is>
          <t>Regulatory &amp; Policy</t>
        </is>
      </c>
      <c r="D265" s="2" t="inlineStr">
        <is>
          <t>United States</t>
        </is>
      </c>
      <c r="E265" s="2" t="inlineStr">
        <is>
          <t>Federal guidance tightens expectations for retirement plan recordkeeping accuracy</t>
        </is>
      </c>
      <c r="F265" s="2" t="inlineStr">
        <is>
          <t>A roundup of federal retirement rules highlights sharpened recordkeeping and reporting expectations for plan sponsors and administrators, part of continued fallout from SECURE 2.0 implementation as agencies push for more reliable participant data.</t>
        </is>
      </c>
      <c r="G265" s="2" t="inlineStr">
        <is>
          <t>Government Executive</t>
        </is>
      </c>
      <c r="H265" s="2" t="inlineStr">
        <is>
          <t>https://www.govexec.com/pay-benefits/2026/09/reliable-rules-your-retirement-recordkeeping/415800/</t>
        </is>
      </c>
      <c r="I265" s="2" t="inlineStr">
        <is>
          <t>2026-09-01</t>
        </is>
      </c>
    </row>
    <row r="266">
      <c r="A266" s="2" t="inlineStr">
        <is>
          <t>2026-09-04</t>
        </is>
      </c>
      <c r="B266" s="2" t="inlineStr">
        <is>
          <t>Wealth Management</t>
        </is>
      </c>
      <c r="C266" s="2" t="inlineStr">
        <is>
          <t>M&amp;A</t>
        </is>
      </c>
      <c r="D266" s="2" t="inlineStr">
        <is>
          <t>United States</t>
        </is>
      </c>
      <c r="E266" s="2" t="inlineStr">
        <is>
          <t>Wealth Enhancement adds Virginia RIA in its third second-half deal of the year</t>
        </is>
      </c>
      <c r="F266" s="2" t="inlineStr">
        <is>
          <t>Minneapolis-based consolidator Wealth Enhancement acquired the investment advisory business of Dickerson Jackson &amp; Associates, a hybrid RIA in Glen Allen, Virginia managing about $376 million in client assets, continuing its acquisitive pace into the second half of 2026.</t>
        </is>
      </c>
      <c r="G266" s="2" t="inlineStr">
        <is>
          <t>Financial Advisor magazine</t>
        </is>
      </c>
      <c r="H266" s="2" t="inlineStr">
        <is>
          <t>https://www.fa-mag.com/news/wealth-enhancement-buys-virginia-ria-with--376m-88309.html</t>
        </is>
      </c>
      <c r="I266" s="2" t="inlineStr">
        <is>
          <t>2026-09-01</t>
        </is>
      </c>
    </row>
    <row r="267">
      <c r="A267" s="2" t="inlineStr">
        <is>
          <t>2026-09-05</t>
        </is>
      </c>
      <c r="B267" s="2" t="inlineStr">
        <is>
          <t>Retirement</t>
        </is>
      </c>
      <c r="C267" s="2" t="inlineStr">
        <is>
          <t>Regulatory &amp; Policy</t>
        </is>
      </c>
      <c r="D267" s="2" t="inlineStr">
        <is>
          <t>UK/Europe</t>
        </is>
      </c>
      <c r="E267" s="2" t="inlineStr">
        <is>
          <t>EU Council extends EIOPA chair Petra Hielkema's mandate for a second five-year term</t>
        </is>
      </c>
      <c r="F267" s="2" t="inlineStr">
        <is>
          <t>The Council of the European Union extended Petra Hielkema's term as chairperson of the European Insurance and Occupational Pensions Authority for a second five-year term beginning September 1, 2026, following a positive performance review from EIOPA's Board of Supervisors.</t>
        </is>
      </c>
      <c r="G267" s="2" t="inlineStr">
        <is>
          <t>EIOPA</t>
        </is>
      </c>
      <c r="H267" s="2" t="inlineStr">
        <is>
          <t>https://www.eiopa.europa.eu/council-eu-extends-term-office-eiopa-chairperson-petra-hielkema-2026-04-10_en</t>
        </is>
      </c>
      <c r="I267" s="2" t="inlineStr">
        <is>
          <t>2026-09-01</t>
        </is>
      </c>
    </row>
    <row r="268">
      <c r="A268" s="2" t="inlineStr">
        <is>
          <t>2026-09-06</t>
        </is>
      </c>
      <c r="B268" s="2" t="inlineStr">
        <is>
          <t>Retirement</t>
        </is>
      </c>
      <c r="C268" s="2" t="inlineStr">
        <is>
          <t>Market Economics</t>
        </is>
      </c>
      <c r="D268" s="2" t="inlineStr">
        <is>
          <t>United States</t>
        </is>
      </c>
      <c r="E268" s="2" t="inlineStr">
        <is>
          <t>US public pension funding hits 85% on strong investment returns despite record contribution burden</t>
        </is>
      </c>
      <c r="F268" s="2" t="inlineStr">
        <is>
          <t>Equable Institute's State of Pensions 2026 report finds the average public pension plan is now 85% funded, up from 81.2%, as investment returns beat targets for a fourth straight year, even as employer contribution rates hit a historic high.</t>
        </is>
      </c>
      <c r="G268" s="2" t="inlineStr">
        <is>
          <t>Equable Institute</t>
        </is>
      </c>
      <c r="H268" s="2" t="inlineStr">
        <is>
          <t>https://equable.org/report/state-of-pensions-2026/</t>
        </is>
      </c>
      <c r="I268" s="2" t="inlineStr">
        <is>
          <t>2026-09-01</t>
        </is>
      </c>
    </row>
    <row r="269">
      <c r="A269" s="2" t="inlineStr">
        <is>
          <t>2026-09-06</t>
        </is>
      </c>
      <c r="B269" s="2" t="inlineStr">
        <is>
          <t>Property &amp; Casualty</t>
        </is>
      </c>
      <c r="C269" s="2" t="inlineStr">
        <is>
          <t>Market Economics</t>
        </is>
      </c>
      <c r="D269" s="2" t="inlineStr">
        <is>
          <t>United States</t>
        </is>
      </c>
      <c r="E269" s="2" t="inlineStr">
        <is>
          <t>Home insurance rates set to rise for a fifth straight year as wildfire and storm losses mount</t>
        </is>
      </c>
      <c r="F269" s="2" t="inlineStr">
        <is>
          <t>Insurify projects US homeowners insurance premiums will keep climbing in 2026, with California rates alone forecast to jump 16% as insurers respond to persistent wildfire losses and capital strain.</t>
        </is>
      </c>
      <c r="G269" s="2" t="inlineStr">
        <is>
          <t>Insurify</t>
        </is>
      </c>
      <c r="H269" s="2" t="inlineStr">
        <is>
          <t>https://insurify.com/homeowners-insurance/report/home-insurance-price-projections/</t>
        </is>
      </c>
      <c r="I269" s="2" t="inlineStr">
        <is>
          <t>2026-09-01</t>
        </is>
      </c>
    </row>
    <row r="270">
      <c r="A270" s="2" t="inlineStr">
        <is>
          <t>2026-09-06</t>
        </is>
      </c>
      <c r="B270" s="2" t="inlineStr">
        <is>
          <t>Insurtech</t>
        </is>
      </c>
      <c r="C270" s="2" t="inlineStr">
        <is>
          <t>M&amp;A</t>
        </is>
      </c>
      <c r="D270" s="2" t="inlineStr">
        <is>
          <t>India</t>
        </is>
      </c>
      <c r="E270" s="2" t="inlineStr">
        <is>
          <t>InsuranceDekho and RenewBuy merge to form India's largest AI-led insurance distribution platform</t>
        </is>
      </c>
      <c r="F270" s="2" t="inlineStr">
        <is>
          <t>The combined entity, operating under the InsuranceDekho brand, has a premium book above Rs 6,600 crore and reaches 98.57% of India's postal codes, pairing InsuranceDekho's north-and-west presence with RenewBuy's southern network.</t>
        </is>
      </c>
      <c r="G270" s="2" t="inlineStr">
        <is>
          <t>Business Standard</t>
        </is>
      </c>
      <c r="H270" s="2" t="inlineStr">
        <is>
          <t>https://www.business-standard.com/industry/news/insurancedekho-renewbuy-merge-to-form-largest-ai-led-insurance-platform-126090101130_1.html</t>
        </is>
      </c>
      <c r="I270" s="2" t="inlineStr">
        <is>
          <t>2026-09-01</t>
        </is>
      </c>
    </row>
    <row r="271">
      <c r="A271" s="2" t="inlineStr">
        <is>
          <t>2026-09-06</t>
        </is>
      </c>
      <c r="B271" s="2" t="inlineStr">
        <is>
          <t>Health Insurance / Payer</t>
        </is>
      </c>
      <c r="C271" s="2" t="inlineStr">
        <is>
          <t>Regulatory &amp; Policy</t>
        </is>
      </c>
      <c r="D271" s="2" t="inlineStr">
        <is>
          <t>United States</t>
        </is>
      </c>
      <c r="E271" s="2" t="inlineStr">
        <is>
          <t>Bipartisan House bill would bar AI from making final call on health insurance claim denials</t>
        </is>
      </c>
      <c r="F271" s="2" t="inlineStr">
        <is>
          <t>Reps. Landsman and Carter introduced the Doctors Not AI Act, which would require a qualified clinician to make medical-necessity denial decisions and permit AI only in a supporting role, alongside new disclosure requirements for its use.</t>
        </is>
      </c>
      <c r="G271" s="2" t="inlineStr">
        <is>
          <t>Rep. Greg Landsman</t>
        </is>
      </c>
      <c r="H271" s="2" t="inlineStr">
        <is>
          <t>https://landsman.house.gov/posts/landsman-introduces-bipartisan-legislation-to-keep-ai-from-making-health-care-decisions</t>
        </is>
      </c>
      <c r="I271" s="2" t="inlineStr">
        <is>
          <t>2026-09-01</t>
        </is>
      </c>
    </row>
    <row r="272">
      <c r="A272" s="2" t="inlineStr">
        <is>
          <t>2026-09-03</t>
        </is>
      </c>
      <c r="B272" s="2" t="inlineStr">
        <is>
          <t>FinTech</t>
        </is>
      </c>
      <c r="C272" s="2" t="inlineStr">
        <is>
          <t>Investments &amp; Funding</t>
        </is>
      </c>
      <c r="D272" s="2" t="inlineStr">
        <is>
          <t>United States</t>
        </is>
      </c>
      <c r="E272" s="2" t="inlineStr">
        <is>
          <t>Tech-enabled E&amp;S managing general agent Aurenity lands growth investment from Great Hill Partners</t>
        </is>
      </c>
      <c r="F272" s="2" t="inlineStr">
        <is>
          <t>Aurenity, a Connecticut-based technology-enabled excess-and-surplus MGA, secured a strategic investment from private equity firm Great Hill Partners to widen its underwriting bench, launch new specialty programs, and build out automation infrastructure.</t>
        </is>
      </c>
      <c r="G272" s="2" t="inlineStr">
        <is>
          <t>FinTech Global</t>
        </is>
      </c>
      <c r="H272" s="2" t="inlineStr">
        <is>
          <t>https://fintech.global/2026/09/02/aurenity-secures-great-hill-investment-for-growth/</t>
        </is>
      </c>
      <c r="I272" s="2" t="inlineStr">
        <is>
          <t>2026-09-02</t>
        </is>
      </c>
    </row>
    <row r="273">
      <c r="A273" s="2" t="inlineStr">
        <is>
          <t>2026-09-03</t>
        </is>
      </c>
      <c r="B273" s="2" t="inlineStr">
        <is>
          <t>Property &amp; Casualty</t>
        </is>
      </c>
      <c r="C273" s="2" t="inlineStr">
        <is>
          <t>Market Economics</t>
        </is>
      </c>
      <c r="D273" s="2" t="inlineStr">
        <is>
          <t>United States</t>
        </is>
      </c>
      <c r="E273" s="2" t="inlineStr">
        <is>
          <t>U.S. P&amp;C insurers post sharply higher first-half 2026 underwriting gains as combined ratio improves</t>
        </is>
      </c>
      <c r="F273" s="2" t="inlineStr">
        <is>
          <t>The U.S. property/casualty industry's net underwriting gain nearly tripled to $31.7 billion in the first half of 2026 versus a year earlier, with the combined ratio improving to 92.7% even as premium growth slowed and casualty lines stayed under pressure.</t>
        </is>
      </c>
      <c r="G273" s="2" t="inlineStr">
        <is>
          <t>Insurance Journal</t>
        </is>
      </c>
      <c r="H273" s="2" t="inlineStr">
        <is>
          <t>https://www.insurancejournal.com/news/national/2026/09/02/883667.htm</t>
        </is>
      </c>
      <c r="I273" s="2" t="inlineStr">
        <is>
          <t>2026-09-02</t>
        </is>
      </c>
    </row>
    <row r="274">
      <c r="A274" s="2" t="inlineStr">
        <is>
          <t>2026-09-04</t>
        </is>
      </c>
      <c r="B274" s="2" t="inlineStr">
        <is>
          <t>Health Insurance / Payer</t>
        </is>
      </c>
      <c r="C274" s="2" t="inlineStr">
        <is>
          <t>People &amp; Leadership</t>
        </is>
      </c>
      <c r="D274" s="2" t="inlineStr">
        <is>
          <t>United States</t>
        </is>
      </c>
      <c r="E274" s="2" t="inlineStr">
        <is>
          <t>Medicare Advantage industry gathers in San Diego for RISE West as plans prep for 2027</t>
        </is>
      </c>
      <c r="F274" s="2" t="inlineStr">
        <is>
          <t>More than 500 health plan executives, providers and policy experts convened at RISE West 2026 in San Diego from September 2-4 to focus on Medicare Advantage risk adjustment, quality performance, AI implementation and operational strategy ahead of 2027 bids.</t>
        </is>
      </c>
      <c r="G274" s="2" t="inlineStr">
        <is>
          <t>HealthExec</t>
        </is>
      </c>
      <c r="H274" s="2" t="inlineStr">
        <is>
          <t>https://healthexec.com/press-release/rise-west-2026-convene-medicare-advantage-leaders-san-diego-sept-2-4</t>
        </is>
      </c>
      <c r="I274" s="2" t="inlineStr">
        <is>
          <t>2026-09-02</t>
        </is>
      </c>
    </row>
    <row r="275">
      <c r="A275" s="2" t="inlineStr">
        <is>
          <t>2026-09-05</t>
        </is>
      </c>
      <c r="B275" s="2" t="inlineStr">
        <is>
          <t>Healthcare / Provider &amp; Clinical</t>
        </is>
      </c>
      <c r="C275" s="2" t="inlineStr">
        <is>
          <t>Market Economics</t>
        </is>
      </c>
      <c r="D275" s="2" t="inlineStr">
        <is>
          <t>UK/Europe</t>
        </is>
      </c>
      <c r="E275" s="2" t="inlineStr">
        <is>
          <t>Barts Health expands free NHS cholesterol testing to 100 more community pharmacies</t>
        </is>
      </c>
      <c r="F275" s="2" t="inlineStr">
        <is>
          <t>Following a successful pilot, Barts Health NHS Trust is expanding free cardiovascular and cholesterol testing to up to 100 additional community pharmacies across England, part of a broader push to catch heart-disease risk earlier outside hospital settings.</t>
        </is>
      </c>
      <c r="G275" s="2" t="inlineStr">
        <is>
          <t>Barts Health NHS Trust</t>
        </is>
      </c>
      <c r="H275" s="2" t="inlineStr">
        <is>
          <t>https://www.bartshealth.nhs.uk/news</t>
        </is>
      </c>
      <c r="I275" s="2" t="inlineStr">
        <is>
          <t>2026-09-02</t>
        </is>
      </c>
    </row>
    <row r="276">
      <c r="A276" s="2" t="inlineStr">
        <is>
          <t>2026-09-05</t>
        </is>
      </c>
      <c r="B276" s="2" t="inlineStr">
        <is>
          <t>Healthcare / Provider &amp; Clinical</t>
        </is>
      </c>
      <c r="C276" s="2" t="inlineStr">
        <is>
          <t>Technology &amp; AI</t>
        </is>
      </c>
      <c r="D276" s="2" t="inlineStr">
        <is>
          <t>UK/Europe</t>
        </is>
      </c>
      <c r="E276" s="2" t="inlineStr">
        <is>
          <t>UCLH study: many breast-cancer survivors can safely stop heart-protective medication</t>
        </is>
      </c>
      <c r="F276" s="2" t="inlineStr">
        <is>
          <t>A study by UCLH, UCL, and Barts Health NHS Trust, presented at the European Society of Cardiology Congress in Munich on September 2, 2026, found that many breast-cancer survivors whose treatment affected heart function can safely stop related medication once their heart recovers, avoiding indefinite treatment.</t>
        </is>
      </c>
      <c r="G276" s="2" t="inlineStr">
        <is>
          <t>UCLH</t>
        </is>
      </c>
      <c r="H276" s="2" t="inlineStr">
        <is>
          <t>https://www.uclh.nhs.uk/news</t>
        </is>
      </c>
      <c r="I276" s="2" t="inlineStr">
        <is>
          <t>2026-09-02</t>
        </is>
      </c>
    </row>
    <row r="277">
      <c r="A277" s="2" t="inlineStr">
        <is>
          <t>2026-09-05</t>
        </is>
      </c>
      <c r="B277" s="2" t="inlineStr">
        <is>
          <t>Property &amp; Casualty</t>
        </is>
      </c>
      <c r="C277" s="2" t="inlineStr">
        <is>
          <t>Market Economics</t>
        </is>
      </c>
      <c r="D277" s="2" t="inlineStr">
        <is>
          <t>United States</t>
        </is>
      </c>
      <c r="E277" s="2" t="inlineStr">
        <is>
          <t>Casualty lines stay under pressure from "nuclear verdicts" even as property pricing softens</t>
        </is>
      </c>
      <c r="F277" s="2" t="inlineStr">
        <is>
          <t>While property insurance pricing eased in the first half of 2026, casualty lines including excess liability, umbrella, and commercial auto remained strained by rising claim severity, large jury verdicts, and medical cost inflation, per the same Verisk/APCIA underwriting report.</t>
        </is>
      </c>
      <c r="G277" s="2" t="inlineStr">
        <is>
          <t>Business Insurance</t>
        </is>
      </c>
      <c r="H277" s="2" t="inlineStr">
        <is>
          <t>https://www.businessinsurance.com/h1-property-casualty-net-underwriting-gain-up-sharply-verisk-apcia/</t>
        </is>
      </c>
      <c r="I277" s="2" t="inlineStr">
        <is>
          <t>2026-09-02</t>
        </is>
      </c>
    </row>
    <row r="278">
      <c r="A278" s="2" t="inlineStr">
        <is>
          <t>2026-09-06</t>
        </is>
      </c>
      <c r="B278" s="2" t="inlineStr">
        <is>
          <t>Life &amp; Annuities</t>
        </is>
      </c>
      <c r="C278" s="2" t="inlineStr">
        <is>
          <t>Market Economics</t>
        </is>
      </c>
      <c r="D278" s="2" t="inlineStr">
        <is>
          <t>United States</t>
        </is>
      </c>
      <c r="E278" s="2" t="inlineStr">
        <is>
          <t>LIMRA: US retail annuity sales topped $460 billion in 2025 for a fourth straight record year</t>
        </is>
      </c>
      <c r="F278" s="2" t="inlineStr">
        <is>
          <t>LIMRA's year-end tally confirms retail annuity sales crossed $460 billion in 2025 marking a fourth consecutive record year as fixed and indexed products continue gaining share.</t>
        </is>
      </c>
      <c r="G278" s="2" t="inlineStr">
        <is>
          <t>LIMRA</t>
        </is>
      </c>
      <c r="H278" s="2" t="inlineStr">
        <is>
          <t>https://www.limra.com/en/newsroom/news-releases/2026/limra-u.s.-retail-annuity-sales-top-$460-billion-in-2025-marking-fourth-year-of-record-sales/</t>
        </is>
      </c>
      <c r="I278" s="2" t="inlineStr">
        <is>
          <t>2026-09-02</t>
        </is>
      </c>
    </row>
    <row r="279">
      <c r="A279" s="2" t="inlineStr">
        <is>
          <t>2026-09-06</t>
        </is>
      </c>
      <c r="B279" s="2" t="inlineStr">
        <is>
          <t>Wealth Management</t>
        </is>
      </c>
      <c r="C279" s="2" t="inlineStr">
        <is>
          <t>M&amp;A</t>
        </is>
      </c>
      <c r="D279" s="2" t="inlineStr">
        <is>
          <t>United States</t>
        </is>
      </c>
      <c r="E279" s="2" t="inlineStr">
        <is>
          <t>Aquiline to take controlling stake in MassMutual-owned wealthtech platform Flourish</t>
        </is>
      </c>
      <c r="F279" s="2" t="inlineStr">
        <is>
          <t>Private equity firm Aquiline Capital Partners agreed to acquire a controlling interest in Flourish, the RIA-focused cash-management and lending platform serving over 1,300 advisors with $2.6 trillion in client assets, with MassMutual remaining a minority investor.</t>
        </is>
      </c>
      <c r="G279" s="2" t="inlineStr">
        <is>
          <t>AdvisorHub</t>
        </is>
      </c>
      <c r="H279" s="2" t="inlineStr">
        <is>
          <t>https://www.advisorhub.com/aquiline-to-buy-ria-cash-management-firm-flourish/</t>
        </is>
      </c>
      <c r="I279" s="2" t="inlineStr">
        <is>
          <t>2026-09-02</t>
        </is>
      </c>
    </row>
    <row r="280">
      <c r="A280" s="2" t="inlineStr">
        <is>
          <t>2026-09-06</t>
        </is>
      </c>
      <c r="B280" s="2" t="inlineStr">
        <is>
          <t>Wealth Management</t>
        </is>
      </c>
      <c r="C280" s="2" t="inlineStr">
        <is>
          <t>M&amp;A</t>
        </is>
      </c>
      <c r="D280" s="2" t="inlineStr">
        <is>
          <t>United States</t>
        </is>
      </c>
      <c r="E280" s="2" t="inlineStr">
        <is>
          <t>Savant Wealth Management expands into upstate New York with its ninth deal of 2026</t>
        </is>
      </c>
      <c r="F280" s="2" t="inlineStr">
        <is>
          <t>Illinois-based Savant Wealth Management, now managing about $56.5 billion, acquired Socha Financial Group, a $542 million Corning-area RIA, marking Savant's ninth acquisition this year and its most active buying pace in the industry.</t>
        </is>
      </c>
      <c r="G280" s="2" t="inlineStr">
        <is>
          <t>InvestmentNews</t>
        </is>
      </c>
      <c r="H280" s="2" t="inlineStr">
        <is>
          <t>https://www.investmentnews.com/ria-news/savant-wealth-management-expands-in-new-york-with-socha-acquisition/268046</t>
        </is>
      </c>
      <c r="I280" s="2" t="inlineStr">
        <is>
          <t>2026-09-02</t>
        </is>
      </c>
    </row>
    <row r="281">
      <c r="A281" s="2" t="inlineStr">
        <is>
          <t>2026-09-06</t>
        </is>
      </c>
      <c r="B281" s="2" t="inlineStr">
        <is>
          <t>Healthcare / Provider &amp; Clinical</t>
        </is>
      </c>
      <c r="C281" s="2" t="inlineStr">
        <is>
          <t>Technology &amp; AI</t>
        </is>
      </c>
      <c r="D281" s="2" t="inlineStr">
        <is>
          <t>United States</t>
        </is>
      </c>
      <c r="E281" s="2" t="inlineStr">
        <is>
          <t>Health systems report major documentation time savings from ambient AI scribes</t>
        </is>
      </c>
      <c r="F281" s="2" t="inlineStr">
        <is>
          <t>Intermountain Health cut time spent on visit notes by 27% using Microsoft's Dragon Copilot, while Cooper University Healthcare and a Mercy Missouri nurse reported saving more than an hour of charting per shift, per HIStalk's latest healthcare AI roundup.</t>
        </is>
      </c>
      <c r="G281" s="2" t="inlineStr">
        <is>
          <t>HIStalk</t>
        </is>
      </c>
      <c r="H281" s="2" t="inlineStr">
        <is>
          <t>https://histalk2.com/2026/09/02/healthcare-ai-news-9-2-26/</t>
        </is>
      </c>
      <c r="I281" s="2" t="inlineStr">
        <is>
          <t>2026-09-02</t>
        </is>
      </c>
    </row>
    <row r="282">
      <c r="A282" s="2" t="inlineStr">
        <is>
          <t>2026-09-03</t>
        </is>
      </c>
      <c r="B282" s="2" t="inlineStr">
        <is>
          <t>Brokers &amp; MGA/GA</t>
        </is>
      </c>
      <c r="C282" s="2" t="inlineStr">
        <is>
          <t>M&amp;A</t>
        </is>
      </c>
      <c r="D282" s="2" t="inlineStr">
        <is>
          <t>United Kingdom</t>
        </is>
      </c>
      <c r="E282" s="2" t="inlineStr">
        <is>
          <t>Caledon Group launches new MGA for complex UK and Ireland home insurance risks</t>
        </is>
      </c>
      <c r="F282" s="2" t="inlineStr">
        <is>
          <t>Caledon Group introduced Caledon MGA to write home insurance for unique, high-value, and non-standard household risks across the UK and Ireland, broadening its specialty property portfolio.</t>
        </is>
      </c>
      <c r="G282" s="2" t="inlineStr">
        <is>
          <t>Insurance Edge</t>
        </is>
      </c>
      <c r="H282" s="2" t="inlineStr">
        <is>
          <t>https://insurance-edge.net/2026/09/03/caledon-mga-launches-in-uk-and-ireland/</t>
        </is>
      </c>
      <c r="I282" s="2" t="inlineStr">
        <is>
          <t>2026-09-03</t>
        </is>
      </c>
    </row>
    <row r="283">
      <c r="A283" s="2" t="inlineStr">
        <is>
          <t>2026-09-03</t>
        </is>
      </c>
      <c r="B283" s="2" t="inlineStr">
        <is>
          <t>Brokers &amp; MGA/GA</t>
        </is>
      </c>
      <c r="C283" s="2" t="inlineStr">
        <is>
          <t>M&amp;A</t>
        </is>
      </c>
      <c r="D283" s="2" t="inlineStr">
        <is>
          <t>United Kingdom</t>
        </is>
      </c>
      <c r="E283" s="2" t="inlineStr">
        <is>
          <t>Avantia adds Accredited Insurance UK as new co-insurer on its Homeprotect platform</t>
        </is>
      </c>
      <c r="F283" s="2" t="inlineStr">
        <is>
          <t>Avantia Group, parent of specialist home insurer Homeprotect, added Accredited Insurance (UK) Limited as a co-insurance partner, expanding underwriting capacity on its digital home insurance platform.</t>
        </is>
      </c>
      <c r="G283" s="2" t="inlineStr">
        <is>
          <t>Insurance Edge</t>
        </is>
      </c>
      <c r="H283" s="2" t="inlineStr">
        <is>
          <t>https://insurance-edge.net/2026/09/03/avantia-working-closely-with-accredited-insurance-uk/</t>
        </is>
      </c>
      <c r="I283" s="2" t="inlineStr">
        <is>
          <t>2026-09-03</t>
        </is>
      </c>
    </row>
    <row r="284">
      <c r="A284" s="2" t="inlineStr">
        <is>
          <t>2026-09-04</t>
        </is>
      </c>
      <c r="B284" s="2" t="inlineStr">
        <is>
          <t>Retirement</t>
        </is>
      </c>
      <c r="C284" s="2" t="inlineStr">
        <is>
          <t>Market Economics</t>
        </is>
      </c>
      <c r="D284" s="2" t="inlineStr">
        <is>
          <t>United States</t>
        </is>
      </c>
      <c r="E284" s="2" t="inlineStr">
        <is>
          <t>Average 401(k) balance hits record high even as more workers tap retirement savings early</t>
        </is>
      </c>
      <c r="F284" s="2" t="inlineStr">
        <is>
          <t>Fidelity's latest account data shows the average 401(k) balance rose 13.1% year-over-year to a record $155,800, but the firm also flagged a rising share of savers taking hardship withdrawals or loans amid ongoing financial pressure.</t>
        </is>
      </c>
      <c r="G284" s="2" t="inlineStr">
        <is>
          <t>CNBC</t>
        </is>
      </c>
      <c r="H284" s="2" t="inlineStr">
        <is>
          <t>https://www.cnbc.com/2026/09/03/401k-ira-retirement-balances-leakage-fidelity.html</t>
        </is>
      </c>
      <c r="I284" s="2" t="inlineStr">
        <is>
          <t>2026-09-03</t>
        </is>
      </c>
    </row>
    <row r="285">
      <c r="A285" s="2" t="inlineStr">
        <is>
          <t>2026-09-05</t>
        </is>
      </c>
      <c r="B285" s="2" t="inlineStr">
        <is>
          <t>Wealth Management</t>
        </is>
      </c>
      <c r="C285" s="2" t="inlineStr">
        <is>
          <t>M&amp;A</t>
        </is>
      </c>
      <c r="D285" s="2" t="inlineStr">
        <is>
          <t>United States</t>
        </is>
      </c>
      <c r="E285" s="2" t="inlineStr">
        <is>
          <t>RIA dealmaking wave continues as three firms hit AUM milestones in one week</t>
        </is>
      </c>
      <c r="F285" s="2" t="inlineStr">
        <is>
          <t>Savant Wealth Management closed its ninth acquisition of the year in New York, F.L. Putnam added a $1 billion Wisconsin advisory team in its 12th deal of the year, and Wealth Enhancement expanded into Virginia — underscoring the record pace of RIA consolidation in 2026.</t>
        </is>
      </c>
      <c r="G285" s="2" t="inlineStr">
        <is>
          <t>InvestmentNews</t>
        </is>
      </c>
      <c r="H285" s="2" t="inlineStr">
        <is>
          <t>https://www.investmentnews.com/ria-news/ria-dealmaking-accelerates-as-three-firms-hit-aum-milestones/267922</t>
        </is>
      </c>
      <c r="I285" s="2" t="inlineStr">
        <is>
          <t>2026-09-03</t>
        </is>
      </c>
    </row>
    <row r="286">
      <c r="A286" s="2" t="inlineStr">
        <is>
          <t>2026-09-05</t>
        </is>
      </c>
      <c r="B286" s="2" t="inlineStr">
        <is>
          <t>Wealth Management</t>
        </is>
      </c>
      <c r="C286" s="2" t="inlineStr">
        <is>
          <t>Technology &amp; AI</t>
        </is>
      </c>
      <c r="D286" s="2" t="inlineStr">
        <is>
          <t>United States</t>
        </is>
      </c>
      <c r="E286" s="2" t="inlineStr">
        <is>
          <t>WealthAi extends its AI "operating system" to independent advisers</t>
        </is>
      </c>
      <c r="F286" s="2" t="inlineStr">
        <is>
          <t>WealthAi launched a version of its AI platform aimed at independent and smaller advisory firms, bundling meeting notes, client management, document generation, and compliance into one system; beta trial firms reportedly cut routine client-administration time by 60%.</t>
        </is>
      </c>
      <c r="G286" s="2" t="inlineStr">
        <is>
          <t>FinTech Global</t>
        </is>
      </c>
      <c r="H286" s="2" t="inlineStr">
        <is>
          <t>https://fintech.global/2026/09/03/wealthai-launches-ai-platform-for-independent-advisers/</t>
        </is>
      </c>
      <c r="I286" s="2" t="inlineStr">
        <is>
          <t>2026-09-03</t>
        </is>
      </c>
    </row>
    <row r="287">
      <c r="A287" s="2" t="inlineStr">
        <is>
          <t>2026-09-06</t>
        </is>
      </c>
      <c r="B287" s="2" t="inlineStr">
        <is>
          <t>Investments</t>
        </is>
      </c>
      <c r="C287" s="2" t="inlineStr">
        <is>
          <t>Investments &amp; Funding</t>
        </is>
      </c>
      <c r="D287" s="2" t="inlineStr">
        <is>
          <t>Global</t>
        </is>
      </c>
      <c r="E287" s="2" t="inlineStr">
        <is>
          <t>MassMutual Ventures doubles down on climate tech with new $150 million fund</t>
        </is>
      </c>
      <c r="F287" s="2" t="inlineStr">
        <is>
          <t>MassMutual Ventures launched a second $150 million Climate Technology Fund targeting early-stage companies applying AI and climate tech to energy infrastructure, real estate and natural resources, bringing its total climate commitment to $300 million.</t>
        </is>
      </c>
      <c r="G287" s="2" t="inlineStr">
        <is>
          <t>Global Venturing</t>
        </is>
      </c>
      <c r="H287" s="2" t="inlineStr">
        <is>
          <t>https://globalventuring.com/corporate/energy-and-natural-resources/massmutual-doubles-climate-tech-commitment-with-second-150m-fund/</t>
        </is>
      </c>
      <c r="I287" s="2" t="inlineStr">
        <is>
          <t>2026-09-03</t>
        </is>
      </c>
    </row>
    <row r="288">
      <c r="A288" s="2" t="inlineStr">
        <is>
          <t>2026-09-06</t>
        </is>
      </c>
      <c r="B288" s="2" t="inlineStr">
        <is>
          <t>Wealth Management</t>
        </is>
      </c>
      <c r="C288" s="2" t="inlineStr">
        <is>
          <t>Market Economics</t>
        </is>
      </c>
      <c r="D288" s="2" t="inlineStr">
        <is>
          <t>UK/Europe</t>
        </is>
      </c>
      <c r="E288" s="2" t="inlineStr">
        <is>
          <t>European wealthtech funding drops 46% in Q2 as investors turn cautious</t>
        </is>
      </c>
      <c r="F288" s="2" t="inlineStr">
        <is>
          <t>European wealthtech funding fell to $185.5 million in the second quarter, down 46% quarter-over-quarter, with average deal size dropping 24% as investors grew more selective despite continued deal activity.</t>
        </is>
      </c>
      <c r="G288" s="2" t="inlineStr">
        <is>
          <t>FinTech Global</t>
        </is>
      </c>
      <c r="H288" s="2" t="inlineStr">
        <is>
          <t>https://fintech.global/2026/09/03/european-wealthtech-funding-dropped-46-in-q2-as-investors-grew-cautious/</t>
        </is>
      </c>
      <c r="I288" s="2" t="inlineStr">
        <is>
          <t>2026-09-03</t>
        </is>
      </c>
    </row>
    <row r="289">
      <c r="A289" s="2" t="inlineStr">
        <is>
          <t>2026-09-06</t>
        </is>
      </c>
      <c r="B289" s="2" t="inlineStr">
        <is>
          <t>Property &amp; Casualty</t>
        </is>
      </c>
      <c r="C289" s="2" t="inlineStr">
        <is>
          <t>Market Economics</t>
        </is>
      </c>
      <c r="D289" s="2" t="inlineStr">
        <is>
          <t>UK/Europe</t>
        </is>
      </c>
      <c r="E289" s="2" t="inlineStr">
        <is>
          <t>Lloyd's of London posts £1.9 billion first-half underwriting profit as combined ratio improves</t>
        </is>
      </c>
      <c r="F289" s="2" t="inlineStr">
        <is>
          <t>Lloyd's reported an improved first-half 2026 combined ratio of 90.8%, down from 92.5% a year earlier, driving a £1.9 billion underwriting profit even as the market flags rising competitive pressure in reinsurance pricing.</t>
        </is>
      </c>
      <c r="G289" s="2" t="inlineStr">
        <is>
          <t>Insurance Journal</t>
        </is>
      </c>
      <c r="H289" s="2" t="inlineStr">
        <is>
          <t>https://www.insurancejournal.com/news/international/2026/09/03/883823.htm</t>
        </is>
      </c>
      <c r="I289" s="2" t="inlineStr">
        <is>
          <t>2026-09-03</t>
        </is>
      </c>
    </row>
    <row r="290">
      <c r="A290" s="2" t="inlineStr">
        <is>
          <t>2026-09-05</t>
        </is>
      </c>
      <c r="B290" s="2" t="inlineStr">
        <is>
          <t>FinTech</t>
        </is>
      </c>
      <c r="C290" s="2" t="inlineStr">
        <is>
          <t>Technology &amp; AI</t>
        </is>
      </c>
      <c r="D290" s="2" t="inlineStr">
        <is>
          <t>Global</t>
        </is>
      </c>
      <c r="E290" s="2" t="inlineStr">
        <is>
          <t>Underwriting data emerges as the front line against rising insurance fraud</t>
        </is>
      </c>
      <c r="F290" s="2" t="inlineStr">
        <is>
          <t>Industry commentary argues that stronger underwriting-stage data and analytics, not just post-claim fraud detection, are the real fix for persistent fraud losses, citing cases like South African life insurers losing over R131.6 million a year despite heavy compliance spending.</t>
        </is>
      </c>
      <c r="G290" s="2" t="inlineStr">
        <is>
          <t>FinTech Global</t>
        </is>
      </c>
      <c r="H290" s="2" t="inlineStr">
        <is>
          <t>https://fintech.global/2026/09/04/why-underwriting-data-holds-the-key-to-stopping-insurance-fraud/</t>
        </is>
      </c>
      <c r="I290" s="2" t="inlineStr">
        <is>
          <t>2026-09-04</t>
        </is>
      </c>
    </row>
    <row r="291">
      <c r="A291" s="2" t="inlineStr">
        <is>
          <t>2026-09-06</t>
        </is>
      </c>
      <c r="B291" s="2" t="inlineStr">
        <is>
          <t>Life &amp; Annuities</t>
        </is>
      </c>
      <c r="C291" s="2" t="inlineStr">
        <is>
          <t>Market Economics</t>
        </is>
      </c>
      <c r="D291" s="2" t="inlineStr">
        <is>
          <t>United States</t>
        </is>
      </c>
      <c r="E291" s="2" t="inlineStr">
        <is>
          <t>US annuity sales hit fresh records as market jitters and rising rates boost demand</t>
        </is>
      </c>
      <c r="F291" s="2" t="inlineStr">
        <is>
          <t>InvestmentNews reports war-related uncertainty and Fed rate moves have redrawn fixed-income demand, pushing annuity sales to new highs as insurers see brisk uptake of protected-income products.</t>
        </is>
      </c>
      <c r="G291" s="2" t="inlineStr">
        <is>
          <t>InvestmentNews</t>
        </is>
      </c>
      <c r="H291" s="2" t="inlineStr">
        <is>
          <t>https://www.investmentnews.com/retirement-planning/annuity-sales-hit-a-record-as-war-and-fed-jitters-redraw-fixed-income/267676</t>
        </is>
      </c>
      <c r="I291" s="2" t="inlineStr">
        <is>
          <t>2026-09-04</t>
        </is>
      </c>
    </row>
    <row r="292">
      <c r="A292" s="2" t="inlineStr">
        <is>
          <t>2026-09-06</t>
        </is>
      </c>
      <c r="B292" s="2" t="inlineStr">
        <is>
          <t>FinTech</t>
        </is>
      </c>
      <c r="C292" s="2" t="inlineStr">
        <is>
          <t>Investments &amp; Funding</t>
        </is>
      </c>
      <c r="D292" s="2" t="inlineStr">
        <is>
          <t>Global</t>
        </is>
      </c>
      <c r="E292" s="2" t="inlineStr">
        <is>
          <t>Fintech funding surges past $1.3 billion across a dozen deals in a single week</t>
        </is>
      </c>
      <c r="F292" s="2" t="inlineStr">
        <is>
          <t>FinTech Global's weekly tracker recorded more than $1.3 billion raised across 12 deals, with wealthtech and payments firms accounting for the bulk of activity in a notably strong week for the sector.</t>
        </is>
      </c>
      <c r="G292" s="2" t="inlineStr">
        <is>
          <t>FinTech Global</t>
        </is>
      </c>
      <c r="H292" s="2" t="inlineStr">
        <is>
          <t>https://fintech.global/2026/09/04/over-1-3bn-raised-across-12-deals-in-powerful-week-for-fintech/</t>
        </is>
      </c>
      <c r="I292" s="2" t="inlineStr">
        <is>
          <t>2026-09-04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40" customWidth="1" min="1" max="1"/>
    <col width="16" customWidth="1" min="2" max="2"/>
  </cols>
  <sheetData>
    <row r="1">
      <c r="A1" s="3" t="inlineStr">
        <is>
          <t>Industry Intelligence Cockpit — Last 30 Days Summary (as of 2026-09-06)</t>
        </is>
      </c>
    </row>
    <row r="3">
      <c r="A3" s="4" t="inlineStr">
        <is>
          <t xml:space="preserve">Total stories (last 30 days): </t>
        </is>
      </c>
      <c r="B3" s="5">
        <f>COUNTA('Raw Data'!A2:A292)</f>
        <v/>
      </c>
    </row>
    <row r="5">
      <c r="A5" s="6" t="inlineStr">
        <is>
          <t>Counts by Vertical</t>
        </is>
      </c>
    </row>
    <row r="6">
      <c r="A6" s="4" t="inlineStr">
        <is>
          <t>Vertical</t>
        </is>
      </c>
      <c r="B6" s="4" t="inlineStr">
        <is>
          <t>Story Count</t>
        </is>
      </c>
    </row>
    <row r="7">
      <c r="A7" s="7" t="inlineStr">
        <is>
          <t>BrokerTech</t>
        </is>
      </c>
      <c r="B7" s="7">
        <f>COUNTIF('Raw Data'!$B$2:$B$292,A7)</f>
        <v/>
      </c>
    </row>
    <row r="8">
      <c r="A8" s="7" t="inlineStr">
        <is>
          <t>Brokers &amp; MGA/GA</t>
        </is>
      </c>
      <c r="B8" s="7">
        <f>COUNTIF('Raw Data'!$B$2:$B$292,A8)</f>
        <v/>
      </c>
    </row>
    <row r="9">
      <c r="A9" s="7" t="inlineStr">
        <is>
          <t>FinTech</t>
        </is>
      </c>
      <c r="B9" s="7">
        <f>COUNTIF('Raw Data'!$B$2:$B$292,A9)</f>
        <v/>
      </c>
    </row>
    <row r="10">
      <c r="A10" s="7" t="inlineStr">
        <is>
          <t>Health Insurance / Payer</t>
        </is>
      </c>
      <c r="B10" s="7">
        <f>COUNTIF('Raw Data'!$B$2:$B$292,A10)</f>
        <v/>
      </c>
    </row>
    <row r="11">
      <c r="A11" s="7" t="inlineStr">
        <is>
          <t>Healthcare / Provider &amp; Clinical</t>
        </is>
      </c>
      <c r="B11" s="7">
        <f>COUNTIF('Raw Data'!$B$2:$B$292,A11)</f>
        <v/>
      </c>
    </row>
    <row r="12">
      <c r="A12" s="7" t="inlineStr">
        <is>
          <t>Insurtech</t>
        </is>
      </c>
      <c r="B12" s="7">
        <f>COUNTIF('Raw Data'!$B$2:$B$292,A12)</f>
        <v/>
      </c>
    </row>
    <row r="13">
      <c r="A13" s="7" t="inlineStr">
        <is>
          <t>Investments</t>
        </is>
      </c>
      <c r="B13" s="7">
        <f>COUNTIF('Raw Data'!$B$2:$B$292,A13)</f>
        <v/>
      </c>
    </row>
    <row r="14">
      <c r="A14" s="7" t="inlineStr">
        <is>
          <t>Life &amp; Annuities</t>
        </is>
      </c>
      <c r="B14" s="7">
        <f>COUNTIF('Raw Data'!$B$2:$B$292,A14)</f>
        <v/>
      </c>
    </row>
    <row r="15">
      <c r="A15" s="7" t="inlineStr">
        <is>
          <t>Property &amp; Casualty</t>
        </is>
      </c>
      <c r="B15" s="7">
        <f>COUNTIF('Raw Data'!$B$2:$B$292,A15)</f>
        <v/>
      </c>
    </row>
    <row r="16">
      <c r="A16" s="7" t="inlineStr">
        <is>
          <t>Retirement</t>
        </is>
      </c>
      <c r="B16" s="7">
        <f>COUNTIF('Raw Data'!$B$2:$B$292,A16)</f>
        <v/>
      </c>
    </row>
    <row r="17">
      <c r="A17" s="7" t="inlineStr">
        <is>
          <t>TPA</t>
        </is>
      </c>
      <c r="B17" s="7">
        <f>COUNTIF('Raw Data'!$B$2:$B$292,A17)</f>
        <v/>
      </c>
    </row>
    <row r="18">
      <c r="A18" s="7" t="inlineStr">
        <is>
          <t>Wealth Management</t>
        </is>
      </c>
      <c r="B18" s="7">
        <f>COUNTIF('Raw Data'!$B$2:$B$292,A18)</f>
        <v/>
      </c>
    </row>
    <row r="20">
      <c r="A20" s="6" t="inlineStr">
        <is>
          <t>Counts by Lens</t>
        </is>
      </c>
    </row>
    <row r="21">
      <c r="A21" s="4" t="inlineStr">
        <is>
          <t>Lens</t>
        </is>
      </c>
      <c r="B21" s="4" t="inlineStr">
        <is>
          <t>Story Count</t>
        </is>
      </c>
    </row>
    <row r="22">
      <c r="A22" s="7" t="inlineStr">
        <is>
          <t>Investments &amp; Funding</t>
        </is>
      </c>
      <c r="B22" s="7">
        <f>COUNTIF('Raw Data'!$C$2:$C$292,A22)</f>
        <v/>
      </c>
    </row>
    <row r="23">
      <c r="A23" s="7" t="inlineStr">
        <is>
          <t>M&amp;A</t>
        </is>
      </c>
      <c r="B23" s="7">
        <f>COUNTIF('Raw Data'!$C$2:$C$292,A23)</f>
        <v/>
      </c>
    </row>
    <row r="24">
      <c r="A24" s="7" t="inlineStr">
        <is>
          <t>Market Economics</t>
        </is>
      </c>
      <c r="B24" s="7">
        <f>COUNTIF('Raw Data'!$C$2:$C$292,A24)</f>
        <v/>
      </c>
    </row>
    <row r="25">
      <c r="A25" s="7" t="inlineStr">
        <is>
          <t>People &amp; Leadership</t>
        </is>
      </c>
      <c r="B25" s="7">
        <f>COUNTIF('Raw Data'!$C$2:$C$292,A25)</f>
        <v/>
      </c>
    </row>
    <row r="26">
      <c r="A26" s="7" t="inlineStr">
        <is>
          <t>Regulatory &amp; Policy</t>
        </is>
      </c>
      <c r="B26" s="7">
        <f>COUNTIF('Raw Data'!$C$2:$C$292,A26)</f>
        <v/>
      </c>
    </row>
    <row r="27">
      <c r="A27" s="7" t="inlineStr">
        <is>
          <t>Technology &amp; AI</t>
        </is>
      </c>
      <c r="B27" s="7">
        <f>COUNTIF('Raw Data'!$C$2:$C$292,A27)</f>
        <v/>
      </c>
    </row>
    <row r="29">
      <c r="A29" s="6" t="inlineStr">
        <is>
          <t>Counts by Week (story_date)</t>
        </is>
      </c>
    </row>
    <row r="30">
      <c r="A30" s="4" t="inlineStr">
        <is>
          <t>Week Starting (Mon)</t>
        </is>
      </c>
      <c r="B30" s="4" t="inlineStr">
        <is>
          <t>Story Count</t>
        </is>
      </c>
    </row>
    <row r="31">
      <c r="A31" s="7" t="inlineStr">
        <is>
          <t>2026-08-03</t>
        </is>
      </c>
      <c r="B31" s="7">
        <f>COUNTIFS('Raw Data'!$I$2:$I$292,"&gt;="&amp;DATE(2026,8,3),'Raw Data'!$I$2:$I$292,"&lt;="&amp;DATE(2026,8,9))</f>
        <v/>
      </c>
    </row>
    <row r="32">
      <c r="A32" s="7" t="inlineStr">
        <is>
          <t>2026-08-10</t>
        </is>
      </c>
      <c r="B32" s="7">
        <f>COUNTIFS('Raw Data'!$I$2:$I$292,"&gt;="&amp;DATE(2026,8,10),'Raw Data'!$I$2:$I$292,"&lt;="&amp;DATE(2026,8,16))</f>
        <v/>
      </c>
    </row>
    <row r="33">
      <c r="A33" s="7" t="inlineStr">
        <is>
          <t>2026-08-17</t>
        </is>
      </c>
      <c r="B33" s="7">
        <f>COUNTIFS('Raw Data'!$I$2:$I$292,"&gt;="&amp;DATE(2026,8,17),'Raw Data'!$I$2:$I$292,"&lt;="&amp;DATE(2026,8,23))</f>
        <v/>
      </c>
    </row>
    <row r="34">
      <c r="A34" s="7" t="inlineStr">
        <is>
          <t>2026-08-24</t>
        </is>
      </c>
      <c r="B34" s="7">
        <f>COUNTIFS('Raw Data'!$I$2:$I$292,"&gt;="&amp;DATE(2026,8,24),'Raw Data'!$I$2:$I$292,"&lt;="&amp;DATE(2026,8,30))</f>
        <v/>
      </c>
    </row>
    <row r="35">
      <c r="A35" s="7" t="inlineStr">
        <is>
          <t>2026-08-31</t>
        </is>
      </c>
      <c r="B35" s="7">
        <f>COUNTIFS('Raw Data'!$I$2:$I$292,"&gt;="&amp;DATE(2026,8,31),'Raw Data'!$I$2:$I$292,"&lt;="&amp;DATE(2026,9,6))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2026-09-06T10:17:43Z</dcterms:created>
  <dcterms:modified xsi:type="dcterms:W3CDTF">2026-09-06T10:17:44Z</dcterms:modified>
</cp:coreProperties>
</file>