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Data (Last 30 Days)" sheetId="1" state="visible" r:id="rId1"/>
    <sheet name="Summary" sheetId="2" state="visible" r:id="rId2"/>
  </sheets>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color rgb="00FFFFFF"/>
    </font>
    <font>
      <name val="Arial"/>
      <b val="1"/>
      <color rgb="0000294D"/>
      <sz val="14"/>
    </font>
    <font>
      <name val="Arial"/>
      <i val="1"/>
      <color rgb="004A5E72"/>
      <sz val="9"/>
    </font>
    <font>
      <name val="Arial"/>
      <b val="1"/>
      <color rgb="0000294D"/>
      <sz val="12"/>
    </font>
    <font>
      <name val="Arial"/>
      <b val="1"/>
    </font>
    <font>
      <name val="Arial"/>
    </font>
  </fonts>
  <fills count="3">
    <fill>
      <patternFill/>
    </fill>
    <fill>
      <patternFill patternType="gray125"/>
    </fill>
    <fill>
      <patternFill patternType="solid">
        <fgColor rgb="0000294D"/>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164"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1"/>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50" customWidth="1" min="5" max="5"/>
    <col width="50" customWidth="1" min="6" max="6"/>
    <col width="15" customWidth="1" min="7" max="7"/>
    <col width="14" customWidth="1" min="8" max="8"/>
    <col width="14" customWidth="1" min="9" max="9"/>
  </cols>
  <sheetData>
    <row r="1">
      <c r="A1" s="1" t="inlineStr">
        <is>
          <t>date_added</t>
        </is>
      </c>
      <c r="B1" s="1" t="inlineStr">
        <is>
          <t>vertical</t>
        </is>
      </c>
      <c r="C1" s="1" t="inlineStr">
        <is>
          <t>lens</t>
        </is>
      </c>
      <c r="D1" s="1" t="inlineStr">
        <is>
          <t>geography</t>
        </is>
      </c>
      <c r="E1" s="1" t="inlineStr">
        <is>
          <t>headline</t>
        </is>
      </c>
      <c r="F1" s="1" t="inlineStr">
        <is>
          <t>summary</t>
        </is>
      </c>
      <c r="G1" s="1" t="inlineStr">
        <is>
          <t>source_name</t>
        </is>
      </c>
      <c r="H1" s="1" t="inlineStr">
        <is>
          <t>source_url</t>
        </is>
      </c>
      <c r="I1" s="1" t="inlineStr">
        <is>
          <t>story_date</t>
        </is>
      </c>
    </row>
    <row r="2">
      <c r="A2" t="inlineStr">
        <is>
          <t>2026-09-09</t>
        </is>
      </c>
      <c r="B2" t="inlineStr">
        <is>
          <t>Life &amp; Annuities</t>
        </is>
      </c>
      <c r="C2" t="inlineStr">
        <is>
          <t>Market Economics</t>
        </is>
      </c>
      <c r="D2" t="inlineStr">
        <is>
          <t>United States</t>
        </is>
      </c>
      <c r="E2" t="inlineStr">
        <is>
          <t>Advisors work to steady ‘headline-fatigued’ clients as Life Insurance Awareness Month begins</t>
        </is>
      </c>
      <c r="F2" t="inlineStr">
        <is>
          <t>Industry commentary marking September's Life Insurance Awareness Month describes clients wearied by market volatility and political headlines, with advisors emphasizing steady annuity and permanent life insurance strategies to rebuild confidence.</t>
        </is>
      </c>
      <c r="G2" t="inlineStr">
        <is>
          <t>InsuranceNewsNet</t>
        </is>
      </c>
      <c r="H2" t="inlineStr">
        <is>
          <t>https://insurancenewsnet.com/innarticle/life-insurance-and-annuities-reassuring-tired-clients-in-2026</t>
        </is>
      </c>
      <c r="I2" t="inlineStr">
        <is>
          <t>2026-09-01</t>
        </is>
      </c>
    </row>
    <row r="3">
      <c r="A3" t="inlineStr">
        <is>
          <t>2026-09-09</t>
        </is>
      </c>
      <c r="B3" t="inlineStr">
        <is>
          <t>Life &amp; Annuities</t>
        </is>
      </c>
      <c r="C3" t="inlineStr">
        <is>
          <t>Regulatory &amp; Policy</t>
        </is>
      </c>
      <c r="D3" t="inlineStr">
        <is>
          <t>India</t>
        </is>
      </c>
      <c r="E3" t="inlineStr">
        <is>
          <t>IRDAI finalizes amendments easing insurer capital, share-transfer and amalgamation rules</t>
        </is>
      </c>
      <c r="F3" t="inlineStr">
        <is>
          <t>India's insurance regulator approved changes to its Registration, Capital Structure, Transfer of Shares and Amalgamation of Insurers Regulations, easing investment norms and clarifying capital-infusion frameworks under the broader Sabka Bima Sabki Raksha Act reforms.</t>
        </is>
      </c>
      <c r="G3" t="inlineStr">
        <is>
          <t>Vajiram &amp; Ravi</t>
        </is>
      </c>
      <c r="H3" t="inlineStr">
        <is>
          <t>https://vajiramandravi.com/current-affairs/irdai-insurance-sector-reforms-2026/</t>
        </is>
      </c>
      <c r="I3" t="inlineStr">
        <is>
          <t>2026-08-15</t>
        </is>
      </c>
    </row>
    <row r="4">
      <c r="A4" t="inlineStr">
        <is>
          <t>2026-09-09</t>
        </is>
      </c>
      <c r="B4" t="inlineStr">
        <is>
          <t>Life &amp; Annuities</t>
        </is>
      </c>
      <c r="C4" t="inlineStr">
        <is>
          <t>Market Economics</t>
        </is>
      </c>
      <c r="D4" t="inlineStr">
        <is>
          <t>United States</t>
        </is>
      </c>
      <c r="E4" t="inlineStr">
        <is>
          <t>Fixed and indexed annuities poised for meaningful growth as pre-retirees seek shelter from volatility</t>
        </is>
      </c>
      <c r="F4" t="inlineStr">
        <is>
          <t>Market outlooks anticipate a meaningful uptick in fixed and indexed annuity sales through 2026, particularly among consumers within five to ten years of retirement looking to shelter savings from rate and policy uncertainty.</t>
        </is>
      </c>
      <c r="G4" t="inlineStr">
        <is>
          <t>InsuranceNewsNet</t>
        </is>
      </c>
      <c r="H4" t="inlineStr">
        <is>
          <t>https://insurancenewsnet.com/innarticle/what-will-2026-bring-to-the-life-annuity-markets</t>
        </is>
      </c>
      <c r="I4" t="inlineStr">
        <is>
          <t>2026-08-10</t>
        </is>
      </c>
    </row>
    <row r="5">
      <c r="A5" t="inlineStr">
        <is>
          <t>2026-09-09</t>
        </is>
      </c>
      <c r="B5" t="inlineStr">
        <is>
          <t>Retirement</t>
        </is>
      </c>
      <c r="C5" t="inlineStr">
        <is>
          <t>Market Economics</t>
        </is>
      </c>
      <c r="D5" t="inlineStr">
        <is>
          <t>United States</t>
        </is>
      </c>
      <c r="E5" t="inlineStr">
        <is>
          <t>Average 401(k) balance hits record $155,800 even as more savers tap accounts early</t>
        </is>
      </c>
      <c r="F5" t="inlineStr">
        <is>
          <t>Fidelity's Q2 2026 data shows the average 401(k) balance climbing 13.1% year-over-year to an all-time high, even as a growing share of participants took hardship withdrawals or loans amid financial pressure.</t>
        </is>
      </c>
      <c r="G5" t="inlineStr">
        <is>
          <t>CNBC</t>
        </is>
      </c>
      <c r="H5" t="inlineStr">
        <is>
          <t>https://www.cnbc.com/2026/09/03/401k-ira-retirement-balances-leakage-fidelity.html</t>
        </is>
      </c>
      <c r="I5" t="inlineStr">
        <is>
          <t>2026-09-03</t>
        </is>
      </c>
    </row>
    <row r="6">
      <c r="A6" t="inlineStr">
        <is>
          <t>2026-09-09</t>
        </is>
      </c>
      <c r="B6" t="inlineStr">
        <is>
          <t>Retirement</t>
        </is>
      </c>
      <c r="C6" t="inlineStr">
        <is>
          <t>M&amp;A</t>
        </is>
      </c>
      <c r="D6" t="inlineStr">
        <is>
          <t>United States</t>
        </is>
      </c>
      <c r="E6" t="inlineStr">
        <is>
          <t>OneAmerica's sale to Voya intensifies consolidation pressure on mid-tier 401(k) recordkeepers</t>
        </is>
      </c>
      <c r="F6" t="inlineStr">
        <is>
          <t>Industry analysis points to OneAmerica's sale to Voya as accelerating scale pressure on smaller, regional retirement recordkeepers already squeezed by falling fees and rising technology and staffing costs.</t>
        </is>
      </c>
      <c r="G6" t="inlineStr">
        <is>
          <t>401kTV</t>
        </is>
      </c>
      <c r="H6" t="inlineStr">
        <is>
          <t>https://401ktv.com/the-next-wave-of-401k-record-keeper-consolidation/</t>
        </is>
      </c>
      <c r="I6" t="inlineStr">
        <is>
          <t>2026-08-20</t>
        </is>
      </c>
    </row>
    <row r="7">
      <c r="A7" t="inlineStr">
        <is>
          <t>2026-09-09</t>
        </is>
      </c>
      <c r="B7" t="inlineStr">
        <is>
          <t>Retirement</t>
        </is>
      </c>
      <c r="C7" t="inlineStr">
        <is>
          <t>Regulatory &amp; Policy</t>
        </is>
      </c>
      <c r="D7" t="inlineStr">
        <is>
          <t>United States</t>
        </is>
      </c>
      <c r="E7" t="inlineStr">
        <is>
          <t>403(b) fee lawsuits keep spreading to plan sponsors as ERISA litigation wave persists</t>
        </is>
      </c>
      <c r="F7" t="inlineStr">
        <is>
          <t>Plaintiffs' firms continue extending a decade-long wave of 401(k) excessive-fee litigation into 403(b) plans, alleging sponsors failed to follow prudent processes for overseeing recordkeeping fees and fund menus.</t>
        </is>
      </c>
      <c r="G7" t="inlineStr">
        <is>
          <t>PLANSPONSOR</t>
        </is>
      </c>
      <c r="H7" t="inlineStr">
        <is>
          <t>https://www.plansponsor.com/403b-plan-sponsor-sued-excessive-fees-underperforming-investments/</t>
        </is>
      </c>
      <c r="I7" t="inlineStr">
        <is>
          <t>2026-08-01</t>
        </is>
      </c>
    </row>
    <row r="8">
      <c r="A8" t="inlineStr">
        <is>
          <t>2026-09-09</t>
        </is>
      </c>
      <c r="B8" t="inlineStr">
        <is>
          <t>Investments</t>
        </is>
      </c>
      <c r="C8" t="inlineStr">
        <is>
          <t>M&amp;A</t>
        </is>
      </c>
      <c r="D8" t="inlineStr">
        <is>
          <t>APAC</t>
        </is>
      </c>
      <c r="E8" t="inlineStr">
        <is>
          <t>Allianz Global Investors completes €376 million acquisition of UOB Asset Management</t>
        </is>
      </c>
      <c r="F8" t="inlineStr">
        <is>
          <t>AllianzGI agreed to acquire Singapore's UOB Asset Management, adding roughly S$42 billion in assets and forming a long-term distribution partnership with UOB to reach the bank's more than eight million regional customers.</t>
        </is>
      </c>
      <c r="G8" t="inlineStr">
        <is>
          <t>Allianz Global Investors</t>
        </is>
      </c>
      <c r="H8" t="inlineStr">
        <is>
          <t>https://www.allianzgi.com/en/press-centre/media/press-releases/20260805-agi-accelerates-growth-path-in-ap-with-agreement-to-acquire-uobam</t>
        </is>
      </c>
      <c r="I8" t="inlineStr">
        <is>
          <t>2026-08-05</t>
        </is>
      </c>
    </row>
    <row r="9">
      <c r="A9" t="inlineStr">
        <is>
          <t>2026-09-09</t>
        </is>
      </c>
      <c r="B9" t="inlineStr">
        <is>
          <t>Investments</t>
        </is>
      </c>
      <c r="C9" t="inlineStr">
        <is>
          <t>Investments &amp; Funding</t>
        </is>
      </c>
      <c r="D9" t="inlineStr">
        <is>
          <t>United States</t>
        </is>
      </c>
      <c r="E9" t="inlineStr">
        <is>
          <t>Target-date funds near $5 trillion as plans add lifetime-income and private-market features</t>
        </is>
      </c>
      <c r="F9" t="inlineStr">
        <is>
          <t>With assets nearing $5 trillion, target-date funds are being redesigned around personalization, embedded guaranteed-income options, and growing exposure to private markets within employer retirement plans.</t>
        </is>
      </c>
      <c r="G9" t="inlineStr">
        <is>
          <t>Great Gray Trust Company</t>
        </is>
      </c>
      <c r="H9" t="inlineStr">
        <is>
          <t>https://greatgray.com/innovation-in-target-date-funds-2026/</t>
        </is>
      </c>
      <c r="I9" t="inlineStr">
        <is>
          <t>2026-08-05</t>
        </is>
      </c>
    </row>
    <row r="10">
      <c r="A10" t="inlineStr">
        <is>
          <t>2026-09-09</t>
        </is>
      </c>
      <c r="B10" t="inlineStr">
        <is>
          <t>Investments</t>
        </is>
      </c>
      <c r="C10" t="inlineStr">
        <is>
          <t>Investments &amp; Funding</t>
        </is>
      </c>
      <c r="D10" t="inlineStr">
        <is>
          <t>India</t>
        </is>
      </c>
      <c r="E10" t="inlineStr">
        <is>
          <t>LIC secures RBI approval to raise its stake in ICICI Bank to up to 9.99%</t>
        </is>
      </c>
      <c r="F10" t="inlineStr">
        <is>
          <t>The Reserve Bank of India approved Life Insurance Corporation's application to raise its holding in ICICI Bank to as much as 9.99% of paid-up capital, giving the insurer one year to complete the acquisition.</t>
        </is>
      </c>
      <c r="G10" t="inlineStr">
        <is>
          <t>ANI News</t>
        </is>
      </c>
      <c r="H10" t="inlineStr">
        <is>
          <t>https://aninews.in/news/business/lic-receives-rbi-approval-to-acquire-up-to-999-pc-stake-in-icici-bank20260905145147/</t>
        </is>
      </c>
      <c r="I10" t="inlineStr">
        <is>
          <t>2026-09-05</t>
        </is>
      </c>
    </row>
    <row r="11">
      <c r="A11" t="inlineStr">
        <is>
          <t>2026-09-09</t>
        </is>
      </c>
      <c r="B11" t="inlineStr">
        <is>
          <t>Wealth Management</t>
        </is>
      </c>
      <c r="C11" t="inlineStr">
        <is>
          <t>M&amp;A</t>
        </is>
      </c>
      <c r="D11" t="inlineStr">
        <is>
          <t>United States</t>
        </is>
      </c>
      <c r="E11" t="inlineStr">
        <is>
          <t>Vanguard's acquisition of RIA custodian Altruist headlines a wave of September wealthtech deals</t>
        </is>
      </c>
      <c r="F11" t="inlineStr">
        <is>
          <t>Vanguard's purchase of RIA custodian Altruist marks a major shift in advisor technology, part of a busy September wealthtech deal slate that also includes Savant Wealth Management's ninth acquisition of the year.</t>
        </is>
      </c>
      <c r="G11" t="inlineStr">
        <is>
          <t>Kitces.com</t>
        </is>
      </c>
      <c r="H11" t="inlineStr">
        <is>
          <t>https://www.kitces.com/blog/the-latest-in-financial-advisortech-september-2026-altruist-vanguard-acquisition-ria-custodian-finny-slant-finturk-pontera/</t>
        </is>
      </c>
      <c r="I11" t="inlineStr">
        <is>
          <t>2026-09-08</t>
        </is>
      </c>
    </row>
    <row r="12">
      <c r="A12" t="inlineStr">
        <is>
          <t>2026-09-09</t>
        </is>
      </c>
      <c r="B12" t="inlineStr">
        <is>
          <t>Wealth Management</t>
        </is>
      </c>
      <c r="C12" t="inlineStr">
        <is>
          <t>Investments &amp; Funding</t>
        </is>
      </c>
      <c r="D12" t="inlineStr">
        <is>
          <t>Global</t>
        </is>
      </c>
      <c r="E12" t="inlineStr">
        <is>
          <t>WealthTech platform FNZ raises $450 million from existing institutional backers</t>
        </is>
      </c>
      <c r="F12" t="inlineStr">
        <is>
          <t>FNZ, whose platform serves more than 30 million end customers on behalf of financial institutions, secured $450 million in fresh equity from CPP Investments, La Caisse, Generation Investment Management and Motive Partners to fund its transformation programme.</t>
        </is>
      </c>
      <c r="G12" t="inlineStr">
        <is>
          <t>FNZ</t>
        </is>
      </c>
      <c r="H12" t="inlineStr">
        <is>
          <t>https://www.fnz.com/news/fnz-raises-us450-million-from-existing-institutional-shareholders</t>
        </is>
      </c>
      <c r="I12" t="inlineStr">
        <is>
          <t>2026-09-03</t>
        </is>
      </c>
    </row>
    <row r="13">
      <c r="A13" t="inlineStr">
        <is>
          <t>2026-09-09</t>
        </is>
      </c>
      <c r="B13" t="inlineStr">
        <is>
          <t>Wealth Management</t>
        </is>
      </c>
      <c r="C13" t="inlineStr">
        <is>
          <t>People &amp; Leadership</t>
        </is>
      </c>
      <c r="D13" t="inlineStr">
        <is>
          <t>United States</t>
        </is>
      </c>
      <c r="E13" t="inlineStr">
        <is>
          <t>MAI Capital taps former KeyBank CIO Amy Brady as managing partner to lead AI and growth push</t>
        </is>
      </c>
      <c r="F13" t="inlineStr">
        <is>
          <t>RIA MAI Capital named 30-year financial-services veteran Amy Brady, formerly of KeyBank and Bank of America, as managing partner to drive firmwide AI adoption, technology strategy and enterprise growth.</t>
        </is>
      </c>
      <c r="G13" t="inlineStr">
        <is>
          <t>InvestmentNews</t>
        </is>
      </c>
      <c r="H13" t="inlineStr">
        <is>
          <t>https://www.investmentnews.com/ria-news/mai-capital-names-amy-brady-managing-partner-to-lead-ai-and-growth-push/268017</t>
        </is>
      </c>
      <c r="I13" t="inlineStr">
        <is>
          <t>2026-09-01</t>
        </is>
      </c>
    </row>
    <row r="14">
      <c r="A14" t="inlineStr">
        <is>
          <t>2026-09-09</t>
        </is>
      </c>
      <c r="B14" t="inlineStr">
        <is>
          <t>Property &amp; Casualty</t>
        </is>
      </c>
      <c r="C14" t="inlineStr">
        <is>
          <t>Market Economics</t>
        </is>
      </c>
      <c r="D14" t="inlineStr">
        <is>
          <t>United States</t>
        </is>
      </c>
      <c r="E14" t="inlineStr">
        <is>
          <t>US P&amp;C insurers post $31.7 billion underwriting gain in first half of 2026 as combined ratio improves to 92.7</t>
        </is>
      </c>
      <c r="F14" t="inlineStr">
        <is>
          <t>Verisk and APCIA data show the U.S. property/casualty industry's net underwriting gain nearly tripling year-over-year to $31.7 billion in H1 2026, even as premium growth slowed to 2.1% and casualty lines stayed pressured by rising claim severity.</t>
        </is>
      </c>
      <c r="G14" t="inlineStr">
        <is>
          <t>Insurance Journal</t>
        </is>
      </c>
      <c r="H14" t="inlineStr">
        <is>
          <t>https://www.insurancejournal.com/news/national/2026/09/02/883667.htm</t>
        </is>
      </c>
      <c r="I14" t="inlineStr">
        <is>
          <t>2026-09-02</t>
        </is>
      </c>
    </row>
    <row r="15">
      <c r="A15" t="inlineStr">
        <is>
          <t>2026-09-09</t>
        </is>
      </c>
      <c r="B15" t="inlineStr">
        <is>
          <t>Property &amp; Casualty</t>
        </is>
      </c>
      <c r="C15" t="inlineStr">
        <is>
          <t>Technology &amp; AI</t>
        </is>
      </c>
      <c r="D15" t="inlineStr">
        <is>
          <t>Global</t>
        </is>
      </c>
      <c r="E15" t="inlineStr">
        <is>
          <t>Cyber insurers roll out ‘AI security riders’ as autonomous agents reshape risk pricing</t>
        </is>
      </c>
      <c r="F15" t="inlineStr">
        <is>
          <t>With global cyber premium on track to reach $16.4 billion in 2026, carriers are introducing AI-security riders requiring proof of red-teaming and reassessing how policies respond to risks from an organization's own autonomous AI systems.</t>
        </is>
      </c>
      <c r="G15" t="inlineStr">
        <is>
          <t>Risk &amp; Insurance</t>
        </is>
      </c>
      <c r="H15" t="inlineStr">
        <is>
          <t>https://riskandinsurance.com/cyber-insurance-at-a-crossroads-ai-reshapes-risk-as-market-growth-stays-steady/</t>
        </is>
      </c>
      <c r="I15" t="inlineStr">
        <is>
          <t>2026-08-25</t>
        </is>
      </c>
    </row>
    <row r="16">
      <c r="A16" t="inlineStr">
        <is>
          <t>2026-09-09</t>
        </is>
      </c>
      <c r="B16" t="inlineStr">
        <is>
          <t>Property &amp; Casualty</t>
        </is>
      </c>
      <c r="C16" t="inlineStr">
        <is>
          <t>Market Economics</t>
        </is>
      </c>
      <c r="D16" t="inlineStr">
        <is>
          <t>Global</t>
        </is>
      </c>
      <c r="E16" t="inlineStr">
        <is>
          <t>Hannover Re calls for risk-adequate pricing heading into January 1 renewals amid growing uncertainty</t>
        </is>
      </c>
      <c r="F16" t="inlineStr">
        <is>
          <t>Hannover Re says it will only grow where reinsurance prices remain commensurate with risk ahead of January renewals, citing intensifying competition, geopolitical tension and inflation as headwinds to accurate long-term claims pricing.</t>
        </is>
      </c>
      <c r="G16" t="inlineStr">
        <is>
          <t>Reinsurance News</t>
        </is>
      </c>
      <c r="H16" t="inlineStr">
        <is>
          <t>https://www.reinsurancene.ws/hannover-re-expects-risk-adequate-prices-for-jan-1-renewals-amid-increasingly-challenging-environment/</t>
        </is>
      </c>
      <c r="I16" t="inlineStr">
        <is>
          <t>2026-09-07</t>
        </is>
      </c>
    </row>
    <row r="17">
      <c r="A17" t="inlineStr">
        <is>
          <t>2026-09-09</t>
        </is>
      </c>
      <c r="B17" t="inlineStr">
        <is>
          <t>Property &amp; Casualty</t>
        </is>
      </c>
      <c r="C17" t="inlineStr">
        <is>
          <t>Regulatory &amp; Policy</t>
        </is>
      </c>
      <c r="D17" t="inlineStr">
        <is>
          <t>APAC</t>
        </is>
      </c>
      <c r="E17" t="inlineStr">
        <is>
          <t>Hong Kong's Insurance Authority closes consultation on risk-based capital reforms favoring infrastructure investment</t>
        </is>
      </c>
      <c r="F17" t="inlineStr">
        <is>
          <t>Hong Kong's Insurance Authority closed a consultation on revisions to its Risk-Based Capital framework that would give insurers preferential capital treatment for qualifying infrastructure investments, targeting a December 31, 2026 implementation date.</t>
        </is>
      </c>
      <c r="G17" t="inlineStr">
        <is>
          <t>Insurance Business Asia</t>
        </is>
      </c>
      <c r="H17" t="inlineStr">
        <is>
          <t>https://www.insurancebusinessmag.com/asia/news/breaking-news/hong-kong-closes-rbc-consultation-to-push-insurers-into-infrastructure-574753.aspx</t>
        </is>
      </c>
      <c r="I17" t="inlineStr">
        <is>
          <t>2026-08-20</t>
        </is>
      </c>
    </row>
    <row r="18">
      <c r="A18" t="inlineStr">
        <is>
          <t>2026-09-09</t>
        </is>
      </c>
      <c r="B18" t="inlineStr">
        <is>
          <t>Property &amp; Casualty</t>
        </is>
      </c>
      <c r="C18" t="inlineStr">
        <is>
          <t>People &amp; Leadership</t>
        </is>
      </c>
      <c r="D18" t="inlineStr">
        <is>
          <t>United States</t>
        </is>
      </c>
      <c r="E18" t="inlineStr">
        <is>
          <t>Canopius names BCG veteran Nadine Moore as CEO of its US business</t>
        </is>
      </c>
      <c r="F18" t="inlineStr">
        <is>
          <t>Canopius Group named Nadine Moore, a former BCG managing director and senior partner, as CEO of its US business effective September 2026, succeeding Lisa Davis to lead retail and wholesale operations from Chicago.</t>
        </is>
      </c>
      <c r="G18" t="inlineStr">
        <is>
          <t>Insurance Business</t>
        </is>
      </c>
      <c r="H18" t="inlineStr">
        <is>
          <t>https://www.insurancebusinessmag.com/us/news/breaking-news/canopius-appoints-nadine-moore-as-us-ceo-succeeding-lisa-davis-582482.aspx</t>
        </is>
      </c>
      <c r="I18" t="inlineStr">
        <is>
          <t>2026-07-16</t>
        </is>
      </c>
    </row>
    <row r="19">
      <c r="A19" t="inlineStr">
        <is>
          <t>2026-09-09</t>
        </is>
      </c>
      <c r="B19" t="inlineStr">
        <is>
          <t>Property &amp; Casualty</t>
        </is>
      </c>
      <c r="C19" t="inlineStr">
        <is>
          <t>People &amp; Leadership</t>
        </is>
      </c>
      <c r="D19" t="inlineStr">
        <is>
          <t>APAC</t>
        </is>
      </c>
      <c r="E19" t="inlineStr">
        <is>
          <t>MSIG Hong Kong names Billy Wong chief underwriting officer after AXA tenure</t>
        </is>
      </c>
      <c r="F19" t="inlineStr">
        <is>
          <t>MSIG Hong Kong appointed Billy Wong as chief underwriting officer effective September 2, bringing nearly two decades of underwriting and portfolio-management experience following an eight-year run as CUO of general insurance at AXA Hong Kong &amp; Macau.</t>
        </is>
      </c>
      <c r="G19" t="inlineStr">
        <is>
          <t>Reinsurance News</t>
        </is>
      </c>
      <c r="H19" t="inlineStr">
        <is>
          <t>https://www.reinsurancene.ws/msig-hong-kong-welcomes-billy-wong-as-cuo/</t>
        </is>
      </c>
      <c r="I19" t="inlineStr">
        <is>
          <t>2026-09-02</t>
        </is>
      </c>
    </row>
    <row r="20">
      <c r="A20" t="inlineStr">
        <is>
          <t>2026-09-09</t>
        </is>
      </c>
      <c r="B20" t="inlineStr">
        <is>
          <t>Brokers &amp; MGA/GA</t>
        </is>
      </c>
      <c r="C20" t="inlineStr">
        <is>
          <t>M&amp;A</t>
        </is>
      </c>
      <c r="D20" t="inlineStr">
        <is>
          <t>United States</t>
        </is>
      </c>
      <c r="E20" t="inlineStr">
        <is>
          <t>Aon to acquire USI from KKR for $17 billion, building a premier US middle-market platform</t>
        </is>
      </c>
      <c r="F20" t="inlineStr">
        <is>
          <t>Aon agreed to buy the 10th-largest U.S. insurance broker USI from KKR for roughly $17 billion, building on its 2024 NFP acquisition to expand access to the more than $40 billion middle-market segment.</t>
        </is>
      </c>
      <c r="G20" t="inlineStr">
        <is>
          <t>Insurance Journal</t>
        </is>
      </c>
      <c r="H20" t="inlineStr">
        <is>
          <t>https://www.insurancejournal.com/news/national/2026/08/31/883334.htm</t>
        </is>
      </c>
      <c r="I20" t="inlineStr">
        <is>
          <t>2026-08-31</t>
        </is>
      </c>
    </row>
    <row r="21">
      <c r="A21" t="inlineStr">
        <is>
          <t>2026-09-09</t>
        </is>
      </c>
      <c r="B21" t="inlineStr">
        <is>
          <t>Brokers &amp; MGA/GA</t>
        </is>
      </c>
      <c r="C21" t="inlineStr">
        <is>
          <t>M&amp;A</t>
        </is>
      </c>
      <c r="D21" t="inlineStr">
        <is>
          <t>UK/Europe</t>
        </is>
      </c>
      <c r="E21" t="inlineStr">
        <is>
          <t>EQT to buy majority stake in specialty broker McGill and Partners for $2 billion from Warburg Pincus</t>
        </is>
      </c>
      <c r="F21" t="inlineStr">
        <is>
          <t>EQT agreed to acquire a majority stake in specialty (re)insurance broker McGill and Partners for $2 billion, with founder Steve McGill remaining CEO as the firm targets accelerated global expansion.</t>
        </is>
      </c>
      <c r="G21" t="inlineStr">
        <is>
          <t>Warburg Pincus</t>
        </is>
      </c>
      <c r="H21" t="inlineStr">
        <is>
          <t>https://warburgpincus.com/2026/09/04/eqt-to-acquire-mcgill-and-partners-a-leading-specialty-reinsurance-broker-for-usd-2-0-billion-from-warburg-pincus/</t>
        </is>
      </c>
      <c r="I21" t="inlineStr">
        <is>
          <t>2026-09-04</t>
        </is>
      </c>
    </row>
    <row r="22">
      <c r="A22" t="inlineStr">
        <is>
          <t>2026-09-09</t>
        </is>
      </c>
      <c r="B22" t="inlineStr">
        <is>
          <t>Brokers &amp; MGA/GA</t>
        </is>
      </c>
      <c r="C22" t="inlineStr">
        <is>
          <t>M&amp;A</t>
        </is>
      </c>
      <c r="D22" t="inlineStr">
        <is>
          <t>United States</t>
        </is>
      </c>
      <c r="E22" t="inlineStr">
        <is>
          <t>MGA deal-making accelerates as scale and specialization drive platform combinations</t>
        </is>
      </c>
      <c r="F22" t="inlineStr">
        <is>
          <t>Managing general agency deal volume is climbing as larger platforms pursue scale and specialty carve-outs, with specialty P&amp;C carriers and E&amp;S business continuing to drive overall insurance M&amp;A activity.</t>
        </is>
      </c>
      <c r="G22" t="inlineStr">
        <is>
          <t>Risk &amp; Insurance</t>
        </is>
      </c>
      <c r="H22" t="inlineStr">
        <is>
          <t>https://riskandinsurance.com/mga-deals-surge-as-scale-and-specialization-drive-growth/</t>
        </is>
      </c>
      <c r="I22" t="inlineStr">
        <is>
          <t>2026-08-10</t>
        </is>
      </c>
    </row>
    <row r="23">
      <c r="A23" t="inlineStr">
        <is>
          <t>2026-09-09</t>
        </is>
      </c>
      <c r="B23" t="inlineStr">
        <is>
          <t>Brokers &amp; MGA/GA</t>
        </is>
      </c>
      <c r="C23" t="inlineStr">
        <is>
          <t>Technology &amp; AI</t>
        </is>
      </c>
      <c r="D23" t="inlineStr">
        <is>
          <t>UK/Europe</t>
        </is>
      </c>
      <c r="E23" t="inlineStr">
        <is>
          <t>NatWest partners with insurtech Uinsure to deliver home insurance quotes in under a minute</t>
        </is>
      </c>
      <c r="F23" t="inlineStr">
        <is>
          <t>NatWest launched an exclusive home insurance proposition with insurtech Uinsure offering sub-minute quotes from a panel of top UK insurers, alongside a new in-app tracker that alerts customers when better-value cover becomes available.</t>
        </is>
      </c>
      <c r="G23" t="inlineStr">
        <is>
          <t>Finextra</t>
        </is>
      </c>
      <c r="H23" t="inlineStr">
        <is>
          <t>https://www.finextra.com/newsarticle/48165/natwest-teams-with-uinsure-to-deliver-home-insurance-quotes-in-seconds</t>
        </is>
      </c>
      <c r="I23" t="inlineStr">
        <is>
          <t>2026-07-28</t>
        </is>
      </c>
    </row>
    <row r="24">
      <c r="A24" t="inlineStr">
        <is>
          <t>2026-09-09</t>
        </is>
      </c>
      <c r="B24" t="inlineStr">
        <is>
          <t>TPA</t>
        </is>
      </c>
      <c r="C24" t="inlineStr">
        <is>
          <t>Technology &amp; AI</t>
        </is>
      </c>
      <c r="D24" t="inlineStr">
        <is>
          <t>United States</t>
        </is>
      </c>
      <c r="E24" t="inlineStr">
        <is>
          <t>Gallagher Bassett warns of a ‘structural’ shift in claims costs as AI adoption accelerates</t>
        </is>
      </c>
      <c r="F24" t="inlineStr">
        <is>
          <t>Gallagher Bassett's 2026 Carrier Perspective report finds North American insurers facing a structural, not cyclical, shift in claims costs as social and medical inflation, catastrophe losses and rapid AI adoption converge.</t>
        </is>
      </c>
      <c r="G24" t="inlineStr">
        <is>
          <t>Insurance Business</t>
        </is>
      </c>
      <c r="H24" t="inlineStr">
        <is>
          <t>https://www.insurancebusinessmag.com/us/news/breaking-news/north-american-carriers-warned-of-structural-claims-cost-shift-in-2026-gallagher-bassett-study-565555.aspx</t>
        </is>
      </c>
      <c r="I24" t="inlineStr">
        <is>
          <t>2026-08-12</t>
        </is>
      </c>
    </row>
    <row r="25">
      <c r="A25" t="inlineStr">
        <is>
          <t>2026-09-09</t>
        </is>
      </c>
      <c r="B25" t="inlineStr">
        <is>
          <t>TPA</t>
        </is>
      </c>
      <c r="C25" t="inlineStr">
        <is>
          <t>Regulatory &amp; Policy</t>
        </is>
      </c>
      <c r="D25" t="inlineStr">
        <is>
          <t>UK/Europe</t>
        </is>
      </c>
      <c r="E25" t="inlineStr">
        <is>
          <t>Sedgwick report finds FCA claims oversight and AI governance atop UK regulatory agenda</t>
        </is>
      </c>
      <c r="F25" t="inlineStr">
        <is>
          <t>Sedgwick's 2026 Claims Administration Intelligence Report finds the UK's FCA has placed claims outcomes and oversight of outsourced and delegated arrangements at the top of its regulatory agenda, keeping accountability with principal insurers even when claims are outsourced.</t>
        </is>
      </c>
      <c r="G25" t="inlineStr">
        <is>
          <t>Sedgwick</t>
        </is>
      </c>
      <c r="H25" t="inlineStr">
        <is>
          <t>https://www.sedgwick.com/press-release/sedgwick-leads-the-conversation-on-the-future-of-claims-in-the-uk/</t>
        </is>
      </c>
      <c r="I25" t="inlineStr">
        <is>
          <t>2026-08-05</t>
        </is>
      </c>
    </row>
    <row r="26">
      <c r="A26" t="inlineStr">
        <is>
          <t>2026-09-09</t>
        </is>
      </c>
      <c r="B26" t="inlineStr">
        <is>
          <t>FinTech</t>
        </is>
      </c>
      <c r="C26" t="inlineStr">
        <is>
          <t>Technology &amp; AI</t>
        </is>
      </c>
      <c r="D26" t="inlineStr">
        <is>
          <t>United States</t>
        </is>
      </c>
      <c r="E26" t="inlineStr">
        <is>
          <t>One Inc and CalcFocus partner to modernize life insurance premium payments</t>
        </is>
      </c>
      <c r="F26" t="inlineStr">
        <is>
          <t>Payments network One Inc and policy administration provider CalcFocus partnered on PremiumPay, letting life insurers offer policyholders Apple Pay, Google Pay, PayPal and Venmo alongside traditional card payments for premium collection.</t>
        </is>
      </c>
      <c r="G26" t="inlineStr">
        <is>
          <t>FinTech Global</t>
        </is>
      </c>
      <c r="H26" t="inlineStr">
        <is>
          <t>https://fintech.global/2026/07/17/one-inc-and-calcfocus-target-friction-in-life-insurance-pay/</t>
        </is>
      </c>
      <c r="I26" t="inlineStr">
        <is>
          <t>2026-07-17</t>
        </is>
      </c>
    </row>
    <row r="27">
      <c r="A27" t="inlineStr">
        <is>
          <t>2026-09-09</t>
        </is>
      </c>
      <c r="B27" t="inlineStr">
        <is>
          <t>FinTech</t>
        </is>
      </c>
      <c r="C27" t="inlineStr">
        <is>
          <t>Investments &amp; Funding</t>
        </is>
      </c>
      <c r="D27" t="inlineStr">
        <is>
          <t>Global</t>
        </is>
      </c>
      <c r="E27" t="inlineStr">
        <is>
          <t>FinTech funding tops $1.3 billion across 12 deals in a powerful first week of September</t>
        </is>
      </c>
      <c r="F27" t="inlineStr">
        <is>
          <t>FinTech Global tallied $1.36 billion raised across 12 deals in the first week of September, with wealthtech firms including FNZ accounting for the largest share of the week's fundraising.</t>
        </is>
      </c>
      <c r="G27" t="inlineStr">
        <is>
          <t>FinTech Global</t>
        </is>
      </c>
      <c r="H27" t="inlineStr">
        <is>
          <t>https://fintech.global/2026/09/04/over-1-3bn-raised-across-12-deals-in-powerful-week-for-fintech/</t>
        </is>
      </c>
      <c r="I27" t="inlineStr">
        <is>
          <t>2026-09-04</t>
        </is>
      </c>
    </row>
    <row r="28">
      <c r="A28" t="inlineStr">
        <is>
          <t>2026-09-09</t>
        </is>
      </c>
      <c r="B28" t="inlineStr">
        <is>
          <t>FinTech</t>
        </is>
      </c>
      <c r="C28" t="inlineStr">
        <is>
          <t>Investments &amp; Funding</t>
        </is>
      </c>
      <c r="D28" t="inlineStr">
        <is>
          <t>Global</t>
        </is>
      </c>
      <c r="E28" t="inlineStr">
        <is>
          <t>Payments and AI drive $361 million in weekly FinTech funding as insurance-adjacent deals grow</t>
        </is>
      </c>
      <c r="F28" t="inlineStr">
        <is>
          <t>A weekly roundup shows payments and AI-focused startups pulling in $361 million in fresh funding, underscoring continued investor appetite for infrastructure spanning banking, insurance and wealth technology.</t>
        </is>
      </c>
      <c r="G28" t="inlineStr">
        <is>
          <t>FinTech Global</t>
        </is>
      </c>
      <c r="H28" t="inlineStr">
        <is>
          <t>https://fintech.global/2026/08/21/payments-and-ai-drive-361m-in-fintech-funding-this-week/</t>
        </is>
      </c>
      <c r="I28" t="inlineStr">
        <is>
          <t>2026-08-21</t>
        </is>
      </c>
    </row>
    <row r="29">
      <c r="A29" t="inlineStr">
        <is>
          <t>2026-09-09</t>
        </is>
      </c>
      <c r="B29" t="inlineStr">
        <is>
          <t>BrokerTech</t>
        </is>
      </c>
      <c r="C29" t="inlineStr">
        <is>
          <t>Technology &amp; AI</t>
        </is>
      </c>
      <c r="D29" t="inlineStr">
        <is>
          <t>United States</t>
        </is>
      </c>
      <c r="E29" t="inlineStr">
        <is>
          <t>BrokerTech Ventures' Chicago summit puts distribution AI and agency growth center stage</t>
        </is>
      </c>
      <c r="F29" t="inlineStr">
        <is>
          <t>BrokerTech Ventures' second annual BrokerTech Connect conference brought brokerage, carrier and startup leaders together in Chicago to explore emerging distribution technology and forge new insurtech partnerships.</t>
        </is>
      </c>
      <c r="G29" t="inlineStr">
        <is>
          <t>PR Newswire</t>
        </is>
      </c>
      <c r="H29" t="inlineStr">
        <is>
          <t>https://www.prnewswire.com/news-releases/brokertech-ventures-announces-brokertech-connect-chicago-2026-bringing-together-insurance-and-insurtech-leaders-302804627.html</t>
        </is>
      </c>
      <c r="I29" t="inlineStr">
        <is>
          <t>2026-09-01</t>
        </is>
      </c>
    </row>
    <row r="30">
      <c r="A30" t="inlineStr">
        <is>
          <t>2026-09-09</t>
        </is>
      </c>
      <c r="B30" t="inlineStr">
        <is>
          <t>BrokerTech</t>
        </is>
      </c>
      <c r="C30" t="inlineStr">
        <is>
          <t>Technology &amp; AI</t>
        </is>
      </c>
      <c r="D30" t="inlineStr">
        <is>
          <t>United States</t>
        </is>
      </c>
      <c r="E30" t="inlineStr">
        <is>
          <t>Vertafore earns fifth straight 5-Star rating for AI-driven agency and MGA technology</t>
        </is>
      </c>
      <c r="F30" t="inlineStr">
        <is>
          <t>Vertafore was recognized for the fifth consecutive year as a 5-Star Technology and Software Provider, citing its Velocity AI Platform and AI agents that speed up workflows for agencies, MGAs and carriers.</t>
        </is>
      </c>
      <c r="G30" t="inlineStr">
        <is>
          <t>PR Newswire</t>
        </is>
      </c>
      <c r="H30" t="inlineStr">
        <is>
          <t>https://www.prnewswire.com/news-releases/vertafore-named-a-5-star-technology-and-software-provider-for-core-digital-systems-and-specialized-ai-built-for-the-way-agencies-mgas-and-carriers-work-302842575.html</t>
        </is>
      </c>
      <c r="I30" t="inlineStr">
        <is>
          <t>2026-08-01</t>
        </is>
      </c>
    </row>
    <row r="31">
      <c r="A31" t="inlineStr">
        <is>
          <t>2026-09-09</t>
        </is>
      </c>
      <c r="B31" t="inlineStr">
        <is>
          <t>Insurtech</t>
        </is>
      </c>
      <c r="C31" t="inlineStr">
        <is>
          <t>Investments &amp; Funding</t>
        </is>
      </c>
      <c r="D31" t="inlineStr">
        <is>
          <t>United States</t>
        </is>
      </c>
      <c r="E31" t="inlineStr">
        <is>
          <t>Insurtech Corgi reportedly raises again at $4 billion valuation, its third round in eight weeks</t>
        </is>
      </c>
      <c r="F31" t="inlineStr">
        <is>
          <t>AI-native startup carrier Corgi reportedly raised fresh capital at a $4 billion valuation, marking its third funding round in eight weeks as investors race to back full-stack insurance platforms built for startups.</t>
        </is>
      </c>
      <c r="G31" t="inlineStr">
        <is>
          <t>TechCrunch</t>
        </is>
      </c>
      <c r="H31" t="inlineStr">
        <is>
          <t>https://techcrunch.com/2026/07/23/insurance-startup-corgi-reportedly-raised-more-money-at-4b-its-third-round-in-eight-weeks/</t>
        </is>
      </c>
      <c r="I31" t="inlineStr">
        <is>
          <t>2026-07-23</t>
        </is>
      </c>
    </row>
    <row r="32">
      <c r="A32" t="inlineStr">
        <is>
          <t>2026-09-09</t>
        </is>
      </c>
      <c r="B32" t="inlineStr">
        <is>
          <t>Insurtech</t>
        </is>
      </c>
      <c r="C32" t="inlineStr">
        <is>
          <t>Investments &amp; Funding</t>
        </is>
      </c>
      <c r="D32" t="inlineStr">
        <is>
          <t>Global</t>
        </is>
      </c>
      <c r="E32" t="inlineStr">
        <is>
          <t>Insurtech funding tops $3 billion in 2026 as AI-native platforms dominate deal flow</t>
        </is>
      </c>
      <c r="F32" t="inlineStr">
        <is>
          <t>Total insurtech funding has reached roughly $3 billion in 2026 to date, with AI-focused companies capturing the overwhelming majority of venture dollars as round sizes climb well above 2025 levels.</t>
        </is>
      </c>
      <c r="G32" t="inlineStr">
        <is>
          <t>InsurTech NY</t>
        </is>
      </c>
      <c r="H32" t="inlineStr">
        <is>
          <t>https://www.insurtechny.com/insurtech-trends-2026-ai-insurance-startups/</t>
        </is>
      </c>
      <c r="I32" t="inlineStr">
        <is>
          <t>2026-08-15</t>
        </is>
      </c>
    </row>
    <row r="33">
      <c r="A33" t="inlineStr">
        <is>
          <t>2026-09-09</t>
        </is>
      </c>
      <c r="B33" t="inlineStr">
        <is>
          <t>Insurtech</t>
        </is>
      </c>
      <c r="C33" t="inlineStr">
        <is>
          <t>Technology &amp; AI</t>
        </is>
      </c>
      <c r="D33" t="inlineStr">
        <is>
          <t>Global</t>
        </is>
      </c>
      <c r="E33" t="inlineStr">
        <is>
          <t>Insurance AI moves from pilots to production, cutting underwriting decisions from days to minutes</t>
        </is>
      </c>
      <c r="F33" t="inlineStr">
        <is>
          <t>Industry analysis finds straight-through processing rates jumping from roughly 10-15% to 70-90% as insurers scale AI-driven underwriting and claims automation, collapsing decision timelines from days to minutes.</t>
        </is>
      </c>
      <c r="G33" t="inlineStr">
        <is>
          <t>Vantage Point</t>
        </is>
      </c>
      <c r="H33" t="inlineStr">
        <is>
          <t>https://vantagepoint.io/blog/sf/insights/insurtech-trends-2026-ai-claims-underwriting</t>
        </is>
      </c>
      <c r="I33" t="inlineStr">
        <is>
          <t>2026-08-01</t>
        </is>
      </c>
    </row>
    <row r="34">
      <c r="A34" t="inlineStr">
        <is>
          <t>2026-09-09</t>
        </is>
      </c>
      <c r="B34" t="inlineStr">
        <is>
          <t>Health Insurance / Payer</t>
        </is>
      </c>
      <c r="C34" t="inlineStr">
        <is>
          <t>Market Economics</t>
        </is>
      </c>
      <c r="D34" t="inlineStr">
        <is>
          <t>United States</t>
        </is>
      </c>
      <c r="E34" t="inlineStr">
        <is>
          <t>Centene swings to over $1 billion profit and raises 2026 outlook for the second time</t>
        </is>
      </c>
      <c r="F34" t="inlineStr">
        <is>
          <t>Centene reported more than $1 billion in second-quarter profit on $53.6 billion in revenue, up 10% year-over-year, and raised its 2026 earnings outlook for the second time this year as its ACA and Medicaid businesses stabilized.</t>
        </is>
      </c>
      <c r="G34" t="inlineStr">
        <is>
          <t>Healthcare Dive</t>
        </is>
      </c>
      <c r="H34" t="inlineStr">
        <is>
          <t>https://www.healthcaredive.com/news/centene-cnc-q2-2026-guidance-hike-aca-medicaid/826286/</t>
        </is>
      </c>
      <c r="I34" t="inlineStr">
        <is>
          <t>2026-07-25</t>
        </is>
      </c>
    </row>
    <row r="35">
      <c r="A35" t="inlineStr">
        <is>
          <t>2026-09-09</t>
        </is>
      </c>
      <c r="B35" t="inlineStr">
        <is>
          <t>Health Insurance / Payer</t>
        </is>
      </c>
      <c r="C35" t="inlineStr">
        <is>
          <t>Market Economics</t>
        </is>
      </c>
      <c r="D35" t="inlineStr">
        <is>
          <t>United States</t>
        </is>
      </c>
      <c r="E35" t="inlineStr">
        <is>
          <t>Elevance Health becomes latest insurer to trim 2026 revenue expectations amid cost pressure</t>
        </is>
      </c>
      <c r="F35" t="inlineStr">
        <is>
          <t>Elevance Health lowered its 2026 revenue expectations, joining other national payers in signaling continued cost pressure even as some insurers point to improving medical-loss-ratio trends heading into year-end.</t>
        </is>
      </c>
      <c r="G35" t="inlineStr">
        <is>
          <t>Healthcare Finance News</t>
        </is>
      </c>
      <c r="H35" t="inlineStr">
        <is>
          <t>https://www.healthcarefinancenews.com/news/elevance-health-latest-health-insurer-lower-2026-revenue-expectations</t>
        </is>
      </c>
      <c r="I35" t="inlineStr">
        <is>
          <t>2026-08-15</t>
        </is>
      </c>
    </row>
    <row r="36">
      <c r="A36" t="inlineStr">
        <is>
          <t>2026-09-09</t>
        </is>
      </c>
      <c r="B36" t="inlineStr">
        <is>
          <t>Health Insurance / Payer</t>
        </is>
      </c>
      <c r="C36" t="inlineStr">
        <is>
          <t>Regulatory &amp; Policy</t>
        </is>
      </c>
      <c r="D36" t="inlineStr">
        <is>
          <t>United States</t>
        </is>
      </c>
      <c r="E36" t="inlineStr">
        <is>
          <t>Bipartisan House bill would require physician sign-off on AI-driven Medicare Advantage denials</t>
        </is>
      </c>
      <c r="F36" t="inlineStr">
        <is>
          <t>Representatives Greg Murphy and Herb Conaway introduced legislation requiring a qualified physician to review and approve any AI-assisted Medicare Advantage coverage denial, with the plan's medical director attesting the decision reflected independent medical judgment.</t>
        </is>
      </c>
      <c r="G36" t="inlineStr">
        <is>
          <t>LeadingAge</t>
        </is>
      </c>
      <c r="H36" t="inlineStr">
        <is>
          <t>https://leadingage.org/new-bill-aims-to-rein-in-ai-driven-ma-prior-authorization-denials/</t>
        </is>
      </c>
      <c r="I36" t="inlineStr">
        <is>
          <t>2026-07-16</t>
        </is>
      </c>
    </row>
    <row r="37">
      <c r="A37" t="inlineStr">
        <is>
          <t>2026-09-09</t>
        </is>
      </c>
      <c r="B37" t="inlineStr">
        <is>
          <t>Health Insurance / Payer</t>
        </is>
      </c>
      <c r="C37" t="inlineStr">
        <is>
          <t>Regulatory &amp; Policy</t>
        </is>
      </c>
      <c r="D37" t="inlineStr">
        <is>
          <t>United States</t>
        </is>
      </c>
      <c r="E37" t="inlineStr">
        <is>
          <t>FTC settlement pushes Caremark to overhaul PBM practices and cut patient drug costs</t>
        </is>
      </c>
      <c r="F37" t="inlineStr">
        <is>
          <t>The Federal Trade Commission secured a settlement requiring Caremark Rx and Zinc Health Services to adopt more transparent business practices, following a similar February settlement with Express Scripts expected to cut patients' insulin costs by up to $7 billion over a decade.</t>
        </is>
      </c>
      <c r="G37" t="inlineStr">
        <is>
          <t>National Law Review</t>
        </is>
      </c>
      <c r="H37" t="inlineStr">
        <is>
          <t>https://natlawreview.com/article/2026-pharmacy-benefit-manager-reform-what-employers-need-know</t>
        </is>
      </c>
      <c r="I37" t="inlineStr">
        <is>
          <t>2026-07-14</t>
        </is>
      </c>
    </row>
    <row r="38">
      <c r="A38" t="inlineStr">
        <is>
          <t>2026-09-09</t>
        </is>
      </c>
      <c r="B38" t="inlineStr">
        <is>
          <t>Healthcare / Provider &amp; Clinical</t>
        </is>
      </c>
      <c r="C38" t="inlineStr">
        <is>
          <t>M&amp;A</t>
        </is>
      </c>
      <c r="D38" t="inlineStr">
        <is>
          <t>United States</t>
        </is>
      </c>
      <c r="E38" t="inlineStr">
        <is>
          <t>Sanford Health finalizes merger with North Memorial Health, entering the Twin Cities market</t>
        </is>
      </c>
      <c r="F38" t="inlineStr">
        <is>
          <t>Sanford Health completed its merger with North Memorial Health under a 10-year Minnesota oversight agreement that includes $600 million in investment commitments and preserves Robbinsdale Hospital as a Level I trauma center.</t>
        </is>
      </c>
      <c r="G38" t="inlineStr">
        <is>
          <t>Chief Healthcare Executive</t>
        </is>
      </c>
      <c r="H38" t="inlineStr">
        <is>
          <t>https://www.chiefhealthcareexecutive.com/view/sanford-health-finalizes-merger-with-north-memorial-health</t>
        </is>
      </c>
      <c r="I38" t="inlineStr">
        <is>
          <t>2026-09-01</t>
        </is>
      </c>
    </row>
    <row r="39">
      <c r="A39" t="inlineStr">
        <is>
          <t>2026-09-09</t>
        </is>
      </c>
      <c r="B39" t="inlineStr">
        <is>
          <t>Healthcare / Provider &amp; Clinical</t>
        </is>
      </c>
      <c r="C39" t="inlineStr">
        <is>
          <t>M&amp;A</t>
        </is>
      </c>
      <c r="D39" t="inlineStr">
        <is>
          <t>United States</t>
        </is>
      </c>
      <c r="E39" t="inlineStr">
        <is>
          <t>Hospital M&amp;A momentum builds as 40 deals were announced in the first half of 2026</t>
        </is>
      </c>
      <c r="F39" t="inlineStr">
        <is>
          <t>Kaufman Hall counted 40 hospital mergers and acquisitions in the first half of 2026 as health systems race to gain scale and offset reimbursement pressure from Medicaid and Medicare Advantage.</t>
        </is>
      </c>
      <c r="G39" t="inlineStr">
        <is>
          <t>Chief Healthcare Executive</t>
        </is>
      </c>
      <c r="H39" t="inlineStr">
        <is>
          <t>https://www.chiefhealthcareexecutive.com/view/more-hospital-mergers-in-first-half-of-2026-and-momentum-may-continue</t>
        </is>
      </c>
      <c r="I39" t="inlineStr">
        <is>
          <t>2026-08-24</t>
        </is>
      </c>
    </row>
    <row r="40">
      <c r="A40" t="inlineStr">
        <is>
          <t>2026-09-09</t>
        </is>
      </c>
      <c r="B40" t="inlineStr">
        <is>
          <t>Healthcare / Provider &amp; Clinical</t>
        </is>
      </c>
      <c r="C40" t="inlineStr">
        <is>
          <t>Technology &amp; AI</t>
        </is>
      </c>
      <c r="D40" t="inlineStr">
        <is>
          <t>United States</t>
        </is>
      </c>
      <c r="E40" t="inlineStr">
        <is>
          <t>OpenAI's Epic integration lets clinicians use ChatGPT for Healthcare to summarize patient records</t>
        </is>
      </c>
      <c r="F40" t="inlineStr">
        <is>
          <t>OpenAI launched an integration with Epic that lets authorized clinicians use ChatGPT for Healthcare to summarize patient records, flag changes, and prepare for visits directly within existing EHR workflows.</t>
        </is>
      </c>
      <c r="G40" t="inlineStr">
        <is>
          <t>HIStalk</t>
        </is>
      </c>
      <c r="H40" t="inlineStr">
        <is>
          <t>https://histalk2.com/2026/09/02/healthcare-ai-news-9-2-26/</t>
        </is>
      </c>
      <c r="I40" t="inlineStr">
        <is>
          <t>2026-09-02</t>
        </is>
      </c>
    </row>
    <row r="41">
      <c r="A41" t="inlineStr">
        <is>
          <t>2026-09-09</t>
        </is>
      </c>
      <c r="B41" t="inlineStr">
        <is>
          <t>Healthcare / Provider &amp; Clinical</t>
        </is>
      </c>
      <c r="C41" t="inlineStr">
        <is>
          <t>Regulatory &amp; Policy</t>
        </is>
      </c>
      <c r="D41" t="inlineStr">
        <is>
          <t>UK/Europe</t>
        </is>
      </c>
      <c r="E41" t="inlineStr">
        <is>
          <t>NHS begins phased 2026/27 flu vaccination drive, prioritizing pregnant women and at-risk children first</t>
        </is>
      </c>
      <c r="F41" t="inlineStr">
        <is>
          <t>The NHS opened its 2026/27 flu vaccination programme on September 1 for pregnant women, at-risk children and school-aged children, with the wider adult rollout and a first-time offer to rough sleepers following on October 1.</t>
        </is>
      </c>
      <c r="G41" t="inlineStr">
        <is>
          <t>NHS England</t>
        </is>
      </c>
      <c r="H41" t="inlineStr">
        <is>
          <t>https://www.england.nhs.uk/long-read/flu-vaccination-programme-2026-27/</t>
        </is>
      </c>
      <c r="I41" t="inlineStr">
        <is>
          <t>2026-09-01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34" customWidth="1" min="1" max="1"/>
    <col width="16" customWidth="1" min="2" max="2"/>
  </cols>
  <sheetData>
    <row r="1">
      <c r="A1" s="2" t="inlineStr">
        <is>
          <t>Industry Intelligence Cockpit — Last 30 Days Summary</t>
        </is>
      </c>
    </row>
    <row r="2">
      <c r="A2" s="3" t="inlineStr">
        <is>
          <t>Generated 2026-09-09  |  Window: 2026-08-10 to 2026-09-09</t>
        </is>
      </c>
    </row>
    <row r="4">
      <c r="A4" s="4" t="inlineStr">
        <is>
          <t>Stories by Vertical</t>
        </is>
      </c>
    </row>
    <row r="5">
      <c r="A5" s="5" t="inlineStr">
        <is>
          <t>Vertical</t>
        </is>
      </c>
      <c r="B5" s="5" t="inlineStr">
        <is>
          <t>Story Count</t>
        </is>
      </c>
    </row>
    <row r="6">
      <c r="A6" s="6" t="inlineStr">
        <is>
          <t>Life &amp; Annuities</t>
        </is>
      </c>
      <c r="B6" s="6">
        <f>COUNTIF('Raw Data (Last 30 Days)'!$B$2:$B$41,A6)</f>
        <v/>
      </c>
    </row>
    <row r="7">
      <c r="A7" s="6" t="inlineStr">
        <is>
          <t>Retirement</t>
        </is>
      </c>
      <c r="B7" s="6">
        <f>COUNTIF('Raw Data (Last 30 Days)'!$B$2:$B$41,A7)</f>
        <v/>
      </c>
    </row>
    <row r="8">
      <c r="A8" s="6" t="inlineStr">
        <is>
          <t>Investments</t>
        </is>
      </c>
      <c r="B8" s="6">
        <f>COUNTIF('Raw Data (Last 30 Days)'!$B$2:$B$41,A8)</f>
        <v/>
      </c>
    </row>
    <row r="9">
      <c r="A9" s="6" t="inlineStr">
        <is>
          <t>Wealth Management</t>
        </is>
      </c>
      <c r="B9" s="6">
        <f>COUNTIF('Raw Data (Last 30 Days)'!$B$2:$B$41,A9)</f>
        <v/>
      </c>
    </row>
    <row r="10">
      <c r="A10" s="6" t="inlineStr">
        <is>
          <t>Property &amp; Casualty</t>
        </is>
      </c>
      <c r="B10" s="6">
        <f>COUNTIF('Raw Data (Last 30 Days)'!$B$2:$B$41,A10)</f>
        <v/>
      </c>
    </row>
    <row r="11">
      <c r="A11" s="6" t="inlineStr">
        <is>
          <t>Brokers &amp; MGA/GA</t>
        </is>
      </c>
      <c r="B11" s="6">
        <f>COUNTIF('Raw Data (Last 30 Days)'!$B$2:$B$41,A11)</f>
        <v/>
      </c>
    </row>
    <row r="12">
      <c r="A12" s="6" t="inlineStr">
        <is>
          <t>TPA</t>
        </is>
      </c>
      <c r="B12" s="6">
        <f>COUNTIF('Raw Data (Last 30 Days)'!$B$2:$B$41,A12)</f>
        <v/>
      </c>
    </row>
    <row r="13">
      <c r="A13" s="6" t="inlineStr">
        <is>
          <t>FinTech</t>
        </is>
      </c>
      <c r="B13" s="6">
        <f>COUNTIF('Raw Data (Last 30 Days)'!$B$2:$B$41,A13)</f>
        <v/>
      </c>
    </row>
    <row r="14">
      <c r="A14" s="6" t="inlineStr">
        <is>
          <t>BrokerTech</t>
        </is>
      </c>
      <c r="B14" s="6">
        <f>COUNTIF('Raw Data (Last 30 Days)'!$B$2:$B$41,A14)</f>
        <v/>
      </c>
    </row>
    <row r="15">
      <c r="A15" s="6" t="inlineStr">
        <is>
          <t>Insurtech</t>
        </is>
      </c>
      <c r="B15" s="6">
        <f>COUNTIF('Raw Data (Last 30 Days)'!$B$2:$B$41,A15)</f>
        <v/>
      </c>
    </row>
    <row r="16">
      <c r="A16" s="6" t="inlineStr">
        <is>
          <t>Health Insurance / Payer</t>
        </is>
      </c>
      <c r="B16" s="6">
        <f>COUNTIF('Raw Data (Last 30 Days)'!$B$2:$B$41,A16)</f>
        <v/>
      </c>
    </row>
    <row r="17">
      <c r="A17" s="6" t="inlineStr">
        <is>
          <t>Healthcare / Provider &amp; Clinical</t>
        </is>
      </c>
      <c r="B17" s="6">
        <f>COUNTIF('Raw Data (Last 30 Days)'!$B$2:$B$41,A17)</f>
        <v/>
      </c>
    </row>
    <row r="19">
      <c r="A19" s="4" t="inlineStr">
        <is>
          <t>Stories by Lens</t>
        </is>
      </c>
    </row>
    <row r="20">
      <c r="A20" s="5" t="inlineStr">
        <is>
          <t>Lens</t>
        </is>
      </c>
      <c r="B20" s="5" t="inlineStr">
        <is>
          <t>Story Count</t>
        </is>
      </c>
    </row>
    <row r="21">
      <c r="A21" s="6" t="inlineStr">
        <is>
          <t>M&amp;A</t>
        </is>
      </c>
      <c r="B21" s="6">
        <f>COUNTIF('Raw Data (Last 30 Days)'!$C$2:$C$41,A21)</f>
        <v/>
      </c>
    </row>
    <row r="22">
      <c r="A22" s="6" t="inlineStr">
        <is>
          <t>Investments &amp; Funding</t>
        </is>
      </c>
      <c r="B22" s="6">
        <f>COUNTIF('Raw Data (Last 30 Days)'!$C$2:$C$41,A22)</f>
        <v/>
      </c>
    </row>
    <row r="23">
      <c r="A23" s="6" t="inlineStr">
        <is>
          <t>Technology &amp; AI</t>
        </is>
      </c>
      <c r="B23" s="6">
        <f>COUNTIF('Raw Data (Last 30 Days)'!$C$2:$C$41,A23)</f>
        <v/>
      </c>
    </row>
    <row r="24">
      <c r="A24" s="6" t="inlineStr">
        <is>
          <t>Market Economics</t>
        </is>
      </c>
      <c r="B24" s="6">
        <f>COUNTIF('Raw Data (Last 30 Days)'!$C$2:$C$41,A24)</f>
        <v/>
      </c>
    </row>
    <row r="25">
      <c r="A25" s="6" t="inlineStr">
        <is>
          <t>Regulatory &amp; Policy</t>
        </is>
      </c>
      <c r="B25" s="6">
        <f>COUNTIF('Raw Data (Last 30 Days)'!$C$2:$C$41,A25)</f>
        <v/>
      </c>
    </row>
    <row r="26">
      <c r="A26" s="6" t="inlineStr">
        <is>
          <t>People &amp; Leadership</t>
        </is>
      </c>
      <c r="B26" s="6">
        <f>COUNTIF('Raw Data (Last 30 Days)'!$C$2:$C$41,A26)</f>
        <v/>
      </c>
    </row>
    <row r="28">
      <c r="A28" s="4" t="inlineStr">
        <is>
          <t>Stories by Geography</t>
        </is>
      </c>
    </row>
    <row r="29">
      <c r="A29" s="5" t="inlineStr">
        <is>
          <t>Geography</t>
        </is>
      </c>
      <c r="B29" s="5" t="inlineStr">
        <is>
          <t>Story Count</t>
        </is>
      </c>
    </row>
    <row r="30">
      <c r="A30" s="6" t="inlineStr">
        <is>
          <t>United States</t>
        </is>
      </c>
      <c r="B30" s="6">
        <f>COUNTIF('Raw Data (Last 30 Days)'!$D$2:$D$41,A30)</f>
        <v/>
      </c>
    </row>
    <row r="31">
      <c r="A31" s="6" t="inlineStr">
        <is>
          <t>India</t>
        </is>
      </c>
      <c r="B31" s="6">
        <f>COUNTIF('Raw Data (Last 30 Days)'!$D$2:$D$41,A31)</f>
        <v/>
      </c>
    </row>
    <row r="32">
      <c r="A32" s="6" t="inlineStr">
        <is>
          <t>UK/Europe</t>
        </is>
      </c>
      <c r="B32" s="6">
        <f>COUNTIF('Raw Data (Last 30 Days)'!$D$2:$D$41,A32)</f>
        <v/>
      </c>
    </row>
    <row r="33">
      <c r="A33" s="6" t="inlineStr">
        <is>
          <t>APAC</t>
        </is>
      </c>
      <c r="B33" s="6">
        <f>COUNTIF('Raw Data (Last 30 Days)'!$D$2:$D$41,A33)</f>
        <v/>
      </c>
    </row>
    <row r="34">
      <c r="A34" s="6" t="inlineStr">
        <is>
          <t>Global</t>
        </is>
      </c>
      <c r="B34" s="6">
        <f>COUNTIF('Raw Data (Last 30 Days)'!$D$2:$D$41,A34)</f>
        <v/>
      </c>
    </row>
    <row r="36">
      <c r="A36" s="4" t="inlineStr">
        <is>
          <t>Stories by Week (date_added)</t>
        </is>
      </c>
    </row>
    <row r="37">
      <c r="A37" s="5" t="inlineStr">
        <is>
          <t>Week Starting</t>
        </is>
      </c>
      <c r="B37" s="5" t="inlineStr">
        <is>
          <t>Story Count</t>
        </is>
      </c>
    </row>
    <row r="38">
      <c r="A38" s="7" t="inlineStr">
        <is>
          <t>2026-08-10</t>
        </is>
      </c>
      <c r="B38" s="6">
        <f>COUNTIFS('Raw Data (Last 30 Days)'!$A$2:$A$41,"&gt;="&amp;A38,'Raw Data (Last 30 Days)'!$A$2:$A$41,"&lt;="&amp;(A38+6))</f>
        <v/>
      </c>
    </row>
    <row r="39">
      <c r="A39" s="7" t="inlineStr">
        <is>
          <t>2026-08-17</t>
        </is>
      </c>
      <c r="B39" s="6">
        <f>COUNTIFS('Raw Data (Last 30 Days)'!$A$2:$A$41,"&gt;="&amp;A39,'Raw Data (Last 30 Days)'!$A$2:$A$41,"&lt;="&amp;(A39+6))</f>
        <v/>
      </c>
    </row>
    <row r="40">
      <c r="A40" s="7" t="inlineStr">
        <is>
          <t>2026-08-24</t>
        </is>
      </c>
      <c r="B40" s="6">
        <f>COUNTIFS('Raw Data (Last 30 Days)'!$A$2:$A$41,"&gt;="&amp;A40,'Raw Data (Last 30 Days)'!$A$2:$A$41,"&lt;="&amp;(A40+6))</f>
        <v/>
      </c>
    </row>
    <row r="41">
      <c r="A41" s="7" t="inlineStr">
        <is>
          <t>2026-08-31</t>
        </is>
      </c>
      <c r="B41" s="6">
        <f>COUNTIFS('Raw Data (Last 30 Days)'!$A$2:$A$41,"&gt;="&amp;A41,'Raw Data (Last 30 Days)'!$A$2:$A$41,"&lt;="&amp;(A41+6))</f>
        <v/>
      </c>
    </row>
    <row r="42">
      <c r="A42" s="7" t="inlineStr">
        <is>
          <t>2026-09-07</t>
        </is>
      </c>
      <c r="B42" s="6">
        <f>COUNTIFS('Raw Data (Last 30 Days)'!$A$2:$A$41,"&gt;="&amp;A42,'Raw Data (Last 30 Days)'!$A$2:$A$41,"&lt;="&amp;(A42+6))</f>
        <v/>
      </c>
    </row>
    <row r="44">
      <c r="A44" s="5" t="inlineStr">
        <is>
          <t>Total stories in window:</t>
        </is>
      </c>
      <c r="B44" s="5">
        <f>COUNTA('Raw Data (Last 30 Days)'!$B$2:$B$41)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2026-09-09T10:21:10Z</dcterms:created>
  <dcterms:modified xsi:type="dcterms:W3CDTF">2026-09-09T10:21:10Z</dcterms:modified>
</cp:coreProperties>
</file>