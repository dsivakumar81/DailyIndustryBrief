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aw Rows" sheetId="1" state="visible" r:id="rId1"/>
    <sheet name="Summary" sheetId="2" state="visible" r:id="rId2"/>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FFFFFF"/>
    </font>
    <font>
      <name val="Arial"/>
      <sz val="10"/>
    </font>
    <font>
      <name val="Arial"/>
      <b val="1"/>
      <color rgb="0000294D"/>
      <sz val="14"/>
    </font>
    <font>
      <name val="Arial"/>
      <i val="1"/>
      <color rgb="004A5E72"/>
      <sz val="9"/>
    </font>
    <font>
      <name val="Arial"/>
      <b val="1"/>
      <color rgb="00FFFFFF"/>
      <sz val="11"/>
    </font>
    <font>
      <name val="Arial"/>
      <b val="1"/>
    </font>
  </fonts>
  <fills count="4">
    <fill>
      <patternFill/>
    </fill>
    <fill>
      <patternFill patternType="gray125"/>
    </fill>
    <fill>
      <patternFill patternType="solid">
        <fgColor rgb="0000294D"/>
      </patternFill>
    </fill>
    <fill>
      <patternFill patternType="solid">
        <fgColor rgb="00005EB8"/>
      </patternFill>
    </fill>
  </fills>
  <borders count="2">
    <border>
      <left/>
      <right/>
      <top/>
      <bottom/>
      <diagonal/>
    </border>
    <border>
      <left style="thin">
        <color rgb="00D0D7E0"/>
      </left>
      <right style="thin">
        <color rgb="00D0D7E0"/>
      </right>
      <top style="thin">
        <color rgb="00D0D7E0"/>
      </top>
      <bottom style="thin">
        <color rgb="00D0D7E0"/>
      </bottom>
    </border>
  </borders>
  <cellStyleXfs count="1">
    <xf numFmtId="0" fontId="0" fillId="0" borderId="0"/>
  </cellStyleXfs>
  <cellXfs count="9">
    <xf numFmtId="0" fontId="0" fillId="0" borderId="0" pivotButton="0" quotePrefix="0" xfId="0"/>
    <xf numFmtId="0" fontId="1" fillId="2" borderId="0" applyAlignment="1" pivotButton="0" quotePrefix="0" xfId="0">
      <alignment vertical="center"/>
    </xf>
    <xf numFmtId="0" fontId="2" fillId="0" borderId="1" applyAlignment="1" pivotButton="0" quotePrefix="0" xfId="0">
      <alignment vertical="top"/>
    </xf>
    <xf numFmtId="0" fontId="2" fillId="0" borderId="1" applyAlignment="1" pivotButton="0" quotePrefix="0" xfId="0">
      <alignment vertical="top" wrapText="1"/>
    </xf>
    <xf numFmtId="0" fontId="3" fillId="0" borderId="0" pivotButton="0" quotePrefix="0" xfId="0"/>
    <xf numFmtId="0" fontId="4" fillId="0" borderId="0" pivotButton="0" quotePrefix="0" xfId="0"/>
    <xf numFmtId="0" fontId="5" fillId="3" borderId="0" applyAlignment="1" pivotButton="0" quotePrefix="0" xfId="0">
      <alignment horizontal="center"/>
    </xf>
    <xf numFmtId="0" fontId="2" fillId="0" borderId="1" pivotButton="0" quotePrefix="0" xfId="0"/>
    <xf numFmtId="0" fontId="6"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113"/>
  <sheetViews>
    <sheetView workbookViewId="0">
      <pane ySplit="1" topLeftCell="A2" activePane="bottomLeft" state="frozen"/>
      <selection pane="bottomLeft" activeCell="A1" sqref="A1"/>
    </sheetView>
  </sheetViews>
  <sheetFormatPr baseColWidth="8" defaultRowHeight="15"/>
  <cols>
    <col width="12" customWidth="1" min="1" max="1"/>
    <col width="22" customWidth="1" min="2" max="2"/>
    <col width="20" customWidth="1" min="3" max="3"/>
    <col width="14" customWidth="1" min="4" max="4"/>
    <col width="46" customWidth="1" min="5" max="5"/>
    <col width="60" customWidth="1" min="6" max="6"/>
    <col width="22" customWidth="1" min="7" max="7"/>
    <col width="42" customWidth="1" min="8" max="8"/>
    <col width="12" customWidth="1" min="9" max="9"/>
  </cols>
  <sheetData>
    <row r="1">
      <c r="A1" s="1" t="inlineStr">
        <is>
          <t>date_added</t>
        </is>
      </c>
      <c r="B1" s="1" t="inlineStr">
        <is>
          <t>vertical</t>
        </is>
      </c>
      <c r="C1" s="1" t="inlineStr">
        <is>
          <t>lens</t>
        </is>
      </c>
      <c r="D1" s="1" t="inlineStr">
        <is>
          <t>geography</t>
        </is>
      </c>
      <c r="E1" s="1" t="inlineStr">
        <is>
          <t>headline</t>
        </is>
      </c>
      <c r="F1" s="1" t="inlineStr">
        <is>
          <t>summary</t>
        </is>
      </c>
      <c r="G1" s="1" t="inlineStr">
        <is>
          <t>source_name</t>
        </is>
      </c>
      <c r="H1" s="1" t="inlineStr">
        <is>
          <t>source_url</t>
        </is>
      </c>
      <c r="I1" s="1" t="inlineStr">
        <is>
          <t>story_date</t>
        </is>
      </c>
    </row>
    <row r="2">
      <c r="A2" s="2" t="inlineStr">
        <is>
          <t>2026-07-06</t>
        </is>
      </c>
      <c r="B2" s="2" t="inlineStr">
        <is>
          <t>Life &amp; Annuities</t>
        </is>
      </c>
      <c r="C2" s="2" t="inlineStr">
        <is>
          <t>Market Economics</t>
        </is>
      </c>
      <c r="D2" s="2" t="inlineStr">
        <is>
          <t>United States</t>
        </is>
      </c>
      <c r="E2" s="3" t="inlineStr">
        <is>
          <t>MassMutual climbs to No. 100 on Fortune 500 in its 175th anniversary year</t>
        </is>
      </c>
      <c r="F2" s="3" t="inlineStr">
        <is>
          <t>MassMutual announced it rose to No. 100 on the 2026 Fortune 500 list, extending a streak of more than three decades on the ranking as the mutual insurer marks 175 years in business.</t>
        </is>
      </c>
      <c r="G2" s="2" t="inlineStr">
        <is>
          <t>Business Wire</t>
        </is>
      </c>
      <c r="H2" s="2" t="inlineStr">
        <is>
          <t>https://www.businesswire.com/news/home/20260701497961/en/MassMutual-Ranks-No.-100-on-the-2026-Fortune-500-List</t>
        </is>
      </c>
      <c r="I2" s="2" t="inlineStr">
        <is>
          <t>2026-07-01</t>
        </is>
      </c>
    </row>
    <row r="3">
      <c r="A3" s="2" t="inlineStr">
        <is>
          <t>2026-07-06</t>
        </is>
      </c>
      <c r="B3" s="2" t="inlineStr">
        <is>
          <t>Wealth Management</t>
        </is>
      </c>
      <c r="C3" s="2" t="inlineStr">
        <is>
          <t>M&amp;A</t>
        </is>
      </c>
      <c r="D3" s="2" t="inlineStr">
        <is>
          <t>United States</t>
        </is>
      </c>
      <c r="E3" s="3" t="inlineStr">
        <is>
          <t>Wealth Enhancement scoops up second Shufro Rose team with $554 million in assets</t>
        </is>
      </c>
      <c r="F3" s="3" t="inlineStr">
        <is>
          <t>Wealth Enhancement agreed to acquire the Kaminsky-Silverman Group from New York-based Shufro Rose, its second deal with the firm in as many months, adding roughly $554 million in client assets.</t>
        </is>
      </c>
      <c r="G3" s="2" t="inlineStr">
        <is>
          <t>PR Newswire</t>
        </is>
      </c>
      <c r="H3" s="2" t="inlineStr">
        <is>
          <t>https://www.prnewswire.com/news-releases/wealth-enhancement-to-acquire-the-kaminsky-silverman-group-of-shufro-rose-with-over-554-million-in-client-assets-302816466.html</t>
        </is>
      </c>
      <c r="I3" s="2" t="inlineStr">
        <is>
          <t>2026-07-02</t>
        </is>
      </c>
    </row>
    <row r="4">
      <c r="A4" s="2" t="inlineStr">
        <is>
          <t>2026-07-06</t>
        </is>
      </c>
      <c r="B4" s="2" t="inlineStr">
        <is>
          <t>Property &amp; Casualty</t>
        </is>
      </c>
      <c r="C4" s="2" t="inlineStr">
        <is>
          <t>M&amp;A</t>
        </is>
      </c>
      <c r="D4" s="2" t="inlineStr">
        <is>
          <t>UK/Europe</t>
        </is>
      </c>
      <c r="E4" s="3" t="inlineStr">
        <is>
          <t>Softening P&amp;C market fuels fresh megadeal speculation, with Zurich-Beazley as bellwether</t>
        </is>
      </c>
      <c r="F4" s="3" t="inlineStr">
        <is>
          <t>Dealmakers point to Zurich's $10.9 billion all-cash agreement to acquire Lloyd's insurer Beazley as a sign more billion-dollar-plus insurance acquisitions could surface in the second half of 2026 as underwriting conditions soften.</t>
        </is>
      </c>
      <c r="G4" s="2" t="inlineStr">
        <is>
          <t>The Insurer</t>
        </is>
      </c>
      <c r="H4" s="2" t="inlineStr">
        <is>
          <t>https://www.theinsurer.com/ti/news/ma-talk-builds-as-market-softens-2026-07-03/</t>
        </is>
      </c>
      <c r="I4" s="2" t="inlineStr">
        <is>
          <t>2026-07-03</t>
        </is>
      </c>
    </row>
    <row r="5">
      <c r="A5" s="2" t="inlineStr">
        <is>
          <t>2026-07-06</t>
        </is>
      </c>
      <c r="B5" s="2" t="inlineStr">
        <is>
          <t>Property &amp; Casualty</t>
        </is>
      </c>
      <c r="C5" s="2" t="inlineStr">
        <is>
          <t>Market Economics</t>
        </is>
      </c>
      <c r="D5" s="2" t="inlineStr">
        <is>
          <t>United States</t>
        </is>
      </c>
      <c r="E5" s="3" t="inlineStr">
        <is>
          <t>Property catastrophe reinsurance rates fall as much as 20% at mid-year Florida renewals</t>
        </is>
      </c>
      <c r="F5" s="3" t="inlineStr">
        <is>
          <t>Record capital from traditional and alternative sources pushed risk-adjusted property-catastrophe reinsurance pricing down roughly 15-20% at the June/July renewals, even as Florida cedents sought billions more in coverage.</t>
        </is>
      </c>
      <c r="G5" s="2" t="inlineStr">
        <is>
          <t>Insurance Business Magazine</t>
        </is>
      </c>
      <c r="H5" s="2" t="inlineStr">
        <is>
          <t>https://www.insurancebusinessmag.com/reinsurance/news/breaking-news/record-capital-drives-softer-reinsurance-pricing-at-july-renewals-580902.aspx</t>
        </is>
      </c>
      <c r="I5" s="2" t="inlineStr">
        <is>
          <t>2026-07-01</t>
        </is>
      </c>
    </row>
    <row r="6">
      <c r="A6" s="2" t="inlineStr">
        <is>
          <t>2026-07-06</t>
        </is>
      </c>
      <c r="B6" s="2" t="inlineStr">
        <is>
          <t>Property &amp; Casualty</t>
        </is>
      </c>
      <c r="C6" s="2" t="inlineStr">
        <is>
          <t>Regulatory &amp; Policy</t>
        </is>
      </c>
      <c r="D6" s="2" t="inlineStr">
        <is>
          <t>APAC</t>
        </is>
      </c>
      <c r="E6" s="3" t="inlineStr">
        <is>
          <t>Singapore regulator floats protected cell company framework for alternative risk transfer</t>
        </is>
      </c>
      <c r="F6" s="3" t="inlineStr">
        <is>
          <t>The Monetary Authority of Singapore opened a consultation on a new Protected Cell Company legislative structure meant to deepen alternative risk transfer and collateralized reinsurance activity in the city-state.</t>
        </is>
      </c>
      <c r="G6" s="2" t="inlineStr">
        <is>
          <t>Monetary Authority of Singapore</t>
        </is>
      </c>
      <c r="H6" s="2" t="inlineStr">
        <is>
          <t>https://www.mas.gov.sg/news/media-releases/2026/mas-consults-on-pcc-framework-to-support-growth-of-alternative-risk-transfer-solutions-in-insurance</t>
        </is>
      </c>
      <c r="I6" s="2" t="inlineStr">
        <is>
          <t>2026-07-07</t>
        </is>
      </c>
    </row>
    <row r="7">
      <c r="A7" s="2" t="inlineStr">
        <is>
          <t>2026-07-06</t>
        </is>
      </c>
      <c r="B7" s="2" t="inlineStr">
        <is>
          <t>Brokers &amp; MGA/GA</t>
        </is>
      </c>
      <c r="C7" s="2" t="inlineStr">
        <is>
          <t>M&amp;A</t>
        </is>
      </c>
      <c r="D7" s="2" t="inlineStr">
        <is>
          <t>United States</t>
        </is>
      </c>
      <c r="E7" s="3" t="inlineStr">
        <is>
          <t>Acrisure folds six specialty MGAs into new Asero Insurance Services brand</t>
        </is>
      </c>
      <c r="F7" s="3" t="inlineStr">
        <is>
          <t>Acrisure launched Asero Insurance Services to unify several of its program administrators, which collectively underwrite over $1 billion in premium for hard-to-place commercial risks, under one shared platform.</t>
        </is>
      </c>
      <c r="G7" s="2" t="inlineStr">
        <is>
          <t>Business Wire</t>
        </is>
      </c>
      <c r="H7" s="2" t="inlineStr">
        <is>
          <t>https://www.businesswire.com/news/home/20260630604248/en/Acrisure-Introduces-Asero-Insurance-Services-Combining-Specialty-MGAs-under-a-Unified-Brand</t>
        </is>
      </c>
      <c r="I7" s="2" t="inlineStr">
        <is>
          <t>2026-06-30</t>
        </is>
      </c>
    </row>
    <row r="8">
      <c r="A8" s="2" t="inlineStr">
        <is>
          <t>2026-07-06</t>
        </is>
      </c>
      <c r="B8" s="2" t="inlineStr">
        <is>
          <t>Brokers &amp; MGA/GA</t>
        </is>
      </c>
      <c r="C8" s="2" t="inlineStr">
        <is>
          <t>People &amp; Leadership</t>
        </is>
      </c>
      <c r="D8" s="2" t="inlineStr">
        <is>
          <t>UK/Europe</t>
        </is>
      </c>
      <c r="E8" s="3" t="inlineStr">
        <is>
          <t>CFC recruits former Direct Line chief Adam Winslow as group CEO</t>
        </is>
      </c>
      <c r="F8" s="3" t="inlineStr">
        <is>
          <t>Specialty MGA CFC named Adam Winslow, formerly group CEO of Direct Line Group, as its next chief executive, succeeding Louise O'Shea as the company looks to accelerate international growth and AI adoption.</t>
        </is>
      </c>
      <c r="G8" s="2" t="inlineStr">
        <is>
          <t>Insurance Journal</t>
        </is>
      </c>
      <c r="H8" s="2" t="inlineStr">
        <is>
          <t>https://www.insurancejournal.com/news/international/2026/07/07/876432.htm</t>
        </is>
      </c>
      <c r="I8" s="2" t="inlineStr">
        <is>
          <t>2026-07-07</t>
        </is>
      </c>
    </row>
    <row r="9">
      <c r="A9" s="2" t="inlineStr">
        <is>
          <t>2026-07-06</t>
        </is>
      </c>
      <c r="B9" s="2" t="inlineStr">
        <is>
          <t>TPA</t>
        </is>
      </c>
      <c r="C9" s="2" t="inlineStr">
        <is>
          <t>Regulatory &amp; Policy</t>
        </is>
      </c>
      <c r="D9" s="2" t="inlineStr">
        <is>
          <t>United States</t>
        </is>
      </c>
      <c r="E9" s="3" t="inlineStr">
        <is>
          <t>Virginia's tougher PBM and TPA oversight law takes effect</t>
        </is>
      </c>
      <c r="F9" s="3" t="inlineStr">
        <is>
          <t>A new Virginia law effective July 1, 2026 expands regulation of PBMs and third-party administrators, banning practices like retroactive claim reductions and electronic claim-processing fees while mandating pass-through pricing.</t>
        </is>
      </c>
      <c r="G9" s="2" t="inlineStr">
        <is>
          <t>Mintz</t>
        </is>
      </c>
      <c r="H9" s="2" t="inlineStr">
        <is>
          <t>https://www.mintz.com/insights-center/viewpoints/2146/2026-04-09-states-continue-advance-new-pbm-and-drug-pricing</t>
        </is>
      </c>
      <c r="I9" s="2" t="inlineStr">
        <is>
          <t>2026-07-01</t>
        </is>
      </c>
    </row>
    <row r="10">
      <c r="A10" s="2" t="inlineStr">
        <is>
          <t>2026-07-06</t>
        </is>
      </c>
      <c r="B10" s="2" t="inlineStr">
        <is>
          <t>FinTech</t>
        </is>
      </c>
      <c r="C10" s="2" t="inlineStr">
        <is>
          <t>Investments &amp; Funding</t>
        </is>
      </c>
      <c r="D10" s="2" t="inlineStr">
        <is>
          <t>India</t>
        </is>
      </c>
      <c r="E10" s="3" t="inlineStr">
        <is>
          <t>Bengaluru cyber insurance startup Mitigata lands $15 million Series B</t>
        </is>
      </c>
      <c r="F10" s="3" t="inlineStr">
        <is>
          <t>Mitigata, an IRDAI-regulated cyber insurance broker, raised a $15 million Series B led by Bessemer Venture Partners to expand its AI-powered cyber resilience platform internationally and scale its security operations center.</t>
        </is>
      </c>
      <c r="G10" s="2" t="inlineStr">
        <is>
          <t>Inc42</t>
        </is>
      </c>
      <c r="H10" s="2" t="inlineStr">
        <is>
          <t>https://inc42.com/buzz/cyber-risk-and-insurance-startup-mitigata-raises-15-mn/</t>
        </is>
      </c>
      <c r="I10" s="2" t="inlineStr">
        <is>
          <t>2026-06-24</t>
        </is>
      </c>
    </row>
    <row r="11">
      <c r="A11" s="2" t="inlineStr">
        <is>
          <t>2026-07-06</t>
        </is>
      </c>
      <c r="B11" s="2" t="inlineStr">
        <is>
          <t>BrokerTech</t>
        </is>
      </c>
      <c r="C11" s="2" t="inlineStr">
        <is>
          <t>M&amp;A</t>
        </is>
      </c>
      <c r="D11" s="2" t="inlineStr">
        <is>
          <t>United States</t>
        </is>
      </c>
      <c r="E11" s="3" t="inlineStr">
        <is>
          <t>Matic buys Policygenius's 30,000-policy home and auto book, adds Primus Capital as investor</t>
        </is>
      </c>
      <c r="F11" s="3" t="inlineStr">
        <is>
          <t>Embedded insurance platform Matic acquired Policygenius's property and casualty insurance portfolio of nearly 30,000 policies and secured a minority growth investment from Primus Capital to fund further expansion.</t>
        </is>
      </c>
      <c r="G11" s="2" t="inlineStr">
        <is>
          <t>The Insurer</t>
        </is>
      </c>
      <c r="H11" s="2" t="inlineStr">
        <is>
          <t>https://www.theinsurer.com/ti/news/matic-acquires-policygenius-pc-portfolio-secures-primus-capital-backing-2026-06-24/</t>
        </is>
      </c>
      <c r="I11" s="2" t="inlineStr">
        <is>
          <t>2026-06-24</t>
        </is>
      </c>
    </row>
    <row r="12">
      <c r="A12" s="2" t="inlineStr">
        <is>
          <t>2026-07-06</t>
        </is>
      </c>
      <c r="B12" s="2" t="inlineStr">
        <is>
          <t>Insurtech</t>
        </is>
      </c>
      <c r="C12" s="2" t="inlineStr">
        <is>
          <t>People &amp; Leadership</t>
        </is>
      </c>
      <c r="D12" s="2" t="inlineStr">
        <is>
          <t>India</t>
        </is>
      </c>
      <c r="E12" s="3" t="inlineStr">
        <is>
          <t>NeoProEd launches to close India's insurtech talent gap</t>
        </is>
      </c>
      <c r="F12" s="3" t="inlineStr">
        <is>
          <t>NeoProEd, founded by veteran insurance leaders, launched its Insurtech Professional Program with the GIFT International FinTech Institute to train talent for India's fast-growing, AI- and embedded-insurance-driven sector.</t>
        </is>
      </c>
      <c r="G12" s="2" t="inlineStr">
        <is>
          <t>Business Standard</t>
        </is>
      </c>
      <c r="H12" s="2" t="inlineStr">
        <is>
          <t>https://www.business-standard.com/amp/content/press-releases-ani/neoproed-launches-to-build-india-s-next-generation-of-insurance-insurtech-leaders-126070400018_1.html</t>
        </is>
      </c>
      <c r="I12" s="2" t="inlineStr">
        <is>
          <t>2026-07-04</t>
        </is>
      </c>
    </row>
    <row r="13">
      <c r="A13" s="2" t="inlineStr">
        <is>
          <t>2026-07-06</t>
        </is>
      </c>
      <c r="B13" s="2" t="inlineStr">
        <is>
          <t>Health Insurance / Payer</t>
        </is>
      </c>
      <c r="C13" s="2" t="inlineStr">
        <is>
          <t>People &amp; Leadership</t>
        </is>
      </c>
      <c r="D13" s="2" t="inlineStr">
        <is>
          <t>United States</t>
        </is>
      </c>
      <c r="E13" s="3" t="inlineStr">
        <is>
          <t>Brian Evanko takes the reins as Cigna's new CEO</t>
        </is>
      </c>
      <c r="F13" s="3" t="inlineStr">
        <is>
          <t>Brian Evanko officially became CEO of The Cigna Group on July 1, succeeding David Cordani, who moves into the role of executive chair after nearly 17 years leading the company.</t>
        </is>
      </c>
      <c r="G13" s="2" t="inlineStr">
        <is>
          <t>Bloomberg</t>
        </is>
      </c>
      <c r="H13" s="2" t="inlineStr">
        <is>
          <t>https://www.bloomberg.com/news/articles/2026-07-01/cigna-s-ceo-vows-to-put-patients-first-wall-street-is-watching</t>
        </is>
      </c>
      <c r="I13" s="2" t="inlineStr">
        <is>
          <t>2026-07-01</t>
        </is>
      </c>
    </row>
    <row r="14">
      <c r="A14" s="2" t="inlineStr">
        <is>
          <t>2026-07-06</t>
        </is>
      </c>
      <c r="B14" s="2" t="inlineStr">
        <is>
          <t>Health Insurance / Payer</t>
        </is>
      </c>
      <c r="C14" s="2" t="inlineStr">
        <is>
          <t>Regulatory &amp; Policy</t>
        </is>
      </c>
      <c r="D14" s="2" t="inlineStr">
        <is>
          <t>United States</t>
        </is>
      </c>
      <c r="E14" s="3" t="inlineStr">
        <is>
          <t>ACA marketplace enrollment drops by millions as subsidy fight continues</t>
        </is>
      </c>
      <c r="F14" s="3" t="inlineStr">
        <is>
          <t>With enhanced ACA premium subsidies expired, marketplace enrollment has fallen by millions, and the Trump administration and policy analysts continue to disagree over how much of the drop reflects affordability versus fraud crackdowns.</t>
        </is>
      </c>
      <c r="G14" s="2" t="inlineStr">
        <is>
          <t>CNBC</t>
        </is>
      </c>
      <c r="H14" s="2" t="inlineStr">
        <is>
          <t>https://www.cnbc.com/2026/07/03/aca-enrollment-enhanced-subsidies-lapse-fraud.html</t>
        </is>
      </c>
      <c r="I14" s="2" t="inlineStr">
        <is>
          <t>2026-07-03</t>
        </is>
      </c>
    </row>
    <row r="15">
      <c r="A15" s="2" t="inlineStr">
        <is>
          <t>2026-07-06</t>
        </is>
      </c>
      <c r="B15" s="2" t="inlineStr">
        <is>
          <t>Health Insurance / Payer</t>
        </is>
      </c>
      <c r="C15" s="2" t="inlineStr">
        <is>
          <t>Regulatory &amp; Policy</t>
        </is>
      </c>
      <c r="D15" s="2" t="inlineStr">
        <is>
          <t>United States</t>
        </is>
      </c>
      <c r="E15" s="3" t="inlineStr">
        <is>
          <t>Elevance sues CMS seeking same Medicare Advantage star-rating fix given to Clover</t>
        </is>
      </c>
      <c r="F15" s="3" t="inlineStr">
        <is>
          <t>Elevance Health sued CMS and HHS, arguing it deserves the same star-ratings recalculation a court forced for Clover Health, a change Elevance says would be worth about $115 million in quality bonus payments.</t>
        </is>
      </c>
      <c r="G15" s="2" t="inlineStr">
        <is>
          <t>STAT News</t>
        </is>
      </c>
      <c r="H15" s="2" t="inlineStr">
        <is>
          <t>https://www.statnews.com/2026/07/02/elevance-lawsuit-medicare-advantage-star-ratings-clover/</t>
        </is>
      </c>
      <c r="I15" s="2" t="inlineStr">
        <is>
          <t>2026-07-02</t>
        </is>
      </c>
    </row>
    <row r="16">
      <c r="A16" s="2" t="inlineStr">
        <is>
          <t>2026-07-07</t>
        </is>
      </c>
      <c r="B16" s="2" t="inlineStr">
        <is>
          <t>Life &amp; Annuities</t>
        </is>
      </c>
      <c r="C16" s="2" t="inlineStr">
        <is>
          <t>Regulatory &amp; Policy</t>
        </is>
      </c>
      <c r="D16" s="2" t="inlineStr">
        <is>
          <t>India</t>
        </is>
      </c>
      <c r="E16" s="3" t="inlineStr">
        <is>
          <t>India's insurance regulator floats spreading agent commissions across a policy's full life</t>
        </is>
      </c>
      <c r="F16" s="3" t="inlineStr">
        <is>
          <t>IRDAI is considering replacing large upfront commissions with payouts spread over the life of a policy to curb mis-selling, with a distribution consultation paper expected by end of July according to chairman Ajay Seth.</t>
        </is>
      </c>
      <c r="G16" s="2" t="inlineStr">
        <is>
          <t>Insurance News BD</t>
        </is>
      </c>
      <c r="H16" s="2" t="inlineStr">
        <is>
          <t>https://eng.insurancenewsbd.com/article/news/6707</t>
        </is>
      </c>
      <c r="I16" s="2" t="inlineStr">
        <is>
          <t>2026-07-03</t>
        </is>
      </c>
    </row>
    <row r="17">
      <c r="A17" s="2" t="inlineStr">
        <is>
          <t>2026-07-07</t>
        </is>
      </c>
      <c r="B17" s="2" t="inlineStr">
        <is>
          <t>Wealth Management</t>
        </is>
      </c>
      <c r="C17" s="2" t="inlineStr">
        <is>
          <t>People &amp; Leadership</t>
        </is>
      </c>
      <c r="D17" s="2" t="inlineStr">
        <is>
          <t>United States</t>
        </is>
      </c>
      <c r="E17" s="3" t="inlineStr">
        <is>
          <t>Steward Partners taps Sequoia Financial's Joseph Glick as new COO</t>
        </is>
      </c>
      <c r="F17" s="3" t="inlineStr">
        <is>
          <t>Steward Partners, which now oversees more than $53 billion in assets, hired Joseph Glick away from Sequoia Financial Group to run operations, technology and finance as the firm scales.</t>
        </is>
      </c>
      <c r="G17" s="2" t="inlineStr">
        <is>
          <t>PR Newswire</t>
        </is>
      </c>
      <c r="H17" s="2" t="inlineStr">
        <is>
          <t>http://www.prnewswire.com/news-releases/steward-partners-appoints-joseph-glick-as-chief-operating-officer-positioning-the-firm-for-its-next-phase-of-growth-302818560.html</t>
        </is>
      </c>
      <c r="I17" s="2" t="inlineStr">
        <is>
          <t>2026-07-06</t>
        </is>
      </c>
    </row>
    <row r="18">
      <c r="A18" s="2" t="inlineStr">
        <is>
          <t>2026-07-07</t>
        </is>
      </c>
      <c r="B18" s="2" t="inlineStr">
        <is>
          <t>Wealth Management</t>
        </is>
      </c>
      <c r="C18" s="2" t="inlineStr">
        <is>
          <t>M&amp;A</t>
        </is>
      </c>
      <c r="D18" s="2" t="inlineStr">
        <is>
          <t>United States</t>
        </is>
      </c>
      <c r="E18" s="3" t="inlineStr">
        <is>
          <t>Hybrid RIA AmeriFlex reaches its $3 billion growth target six months ahead of schedule</t>
        </is>
      </c>
      <c r="F18" s="3" t="inlineStr">
        <is>
          <t>The AmeriFlex Group added 18 advisors and more than $1.7 billion in client assets in the first half of 2026, crediting succession-matching tools for pulling forward its annual growth goal.</t>
        </is>
      </c>
      <c r="G18" s="2" t="inlineStr">
        <is>
          <t>PR Newswire</t>
        </is>
      </c>
      <c r="H18" s="2" t="inlineStr">
        <is>
          <t>https://www.prnewswire.com/news-releases/the-ameriflex-group-adds-more-than-1-7-billion-in-total-client-assets-in-first-half-2026--302817331.html</t>
        </is>
      </c>
      <c r="I18" s="2" t="inlineStr">
        <is>
          <t>2026-07-07</t>
        </is>
      </c>
    </row>
    <row r="19">
      <c r="A19" s="2" t="inlineStr">
        <is>
          <t>2026-07-07</t>
        </is>
      </c>
      <c r="B19" s="2" t="inlineStr">
        <is>
          <t>Property &amp; Casualty</t>
        </is>
      </c>
      <c r="C19" s="2" t="inlineStr">
        <is>
          <t>Market Economics</t>
        </is>
      </c>
      <c r="D19" s="2" t="inlineStr">
        <is>
          <t>United States</t>
        </is>
      </c>
      <c r="E19" s="3" t="inlineStr">
        <is>
          <t>US P&amp;C insurers swing to $16.3 billion underwriting gain in strongest Q1 in decades</t>
        </is>
      </c>
      <c r="F19" s="3" t="inlineStr">
        <is>
          <t>The US property-casualty industry posted a $16.3 billion net underwriting gain in Q1 2026, reversing a year-earlier loss on lower catastrophe losses and easing incurred-loss trends, according to AM Best data.</t>
        </is>
      </c>
      <c r="G19" s="2" t="inlineStr">
        <is>
          <t>Insurance Journal</t>
        </is>
      </c>
      <c r="H19" s="2" t="inlineStr">
        <is>
          <t>https://www.insurancejournal.com/news/national/2026/06/23/874936.htm</t>
        </is>
      </c>
      <c r="I19" s="2" t="inlineStr">
        <is>
          <t>2026-06-23</t>
        </is>
      </c>
    </row>
    <row r="20">
      <c r="A20" s="2" t="inlineStr">
        <is>
          <t>2026-07-07</t>
        </is>
      </c>
      <c r="B20" s="2" t="inlineStr">
        <is>
          <t>Property &amp; Casualty</t>
        </is>
      </c>
      <c r="C20" s="2" t="inlineStr">
        <is>
          <t>Regulatory &amp; Policy</t>
        </is>
      </c>
      <c r="D20" s="2" t="inlineStr">
        <is>
          <t>UK/Europe</t>
        </is>
      </c>
      <c r="E20" s="3" t="inlineStr">
        <is>
          <t>UK underwriting body warns dealmakers are leaning too hard on cyber cover</t>
        </is>
      </c>
      <c r="F20" s="3" t="inlineStr">
        <is>
          <t>The International Underwriting Association cautioned that warranty-and-indemnity insurers may be over-relying on cyber insurance to cover M&amp;A transaction risk, flagging coverage gaps underwriters need to address.</t>
        </is>
      </c>
      <c r="G20" s="2" t="inlineStr">
        <is>
          <t>Insurance-Edge</t>
        </is>
      </c>
      <c r="H20" s="2" t="inlineStr">
        <is>
          <t>https://insurance-edge.net/2026/07/02/iua-warns-on-over-reliance-on-cyber-insurance/</t>
        </is>
      </c>
      <c r="I20" s="2" t="inlineStr">
        <is>
          <t>2026-07-02</t>
        </is>
      </c>
    </row>
    <row r="21">
      <c r="A21" s="2" t="inlineStr">
        <is>
          <t>2026-07-07</t>
        </is>
      </c>
      <c r="B21" s="2" t="inlineStr">
        <is>
          <t>Property &amp; Casualty</t>
        </is>
      </c>
      <c r="C21" s="2" t="inlineStr">
        <is>
          <t>Market Economics</t>
        </is>
      </c>
      <c r="D21" s="2" t="inlineStr">
        <is>
          <t>UK/Europe</t>
        </is>
      </c>
      <c r="E21" s="3" t="inlineStr">
        <is>
          <t>Pen Underwriting doubles UK SME cyber cover to £10 million as broker demand rises</t>
        </is>
      </c>
      <c r="F21" s="3" t="inlineStr">
        <is>
          <t>MGA Pen Underwriting raised its cyber cover limit to £10 million for risks incepting from July 1 and brought claims handling in-house, responding to broker demand from larger SME clients.</t>
        </is>
      </c>
      <c r="G21" s="2" t="inlineStr">
        <is>
          <t>The Insurer</t>
        </is>
      </c>
      <c r="H21" s="2" t="inlineStr">
        <is>
          <t>https://www.theinsurer.com/cyber-risk/news/pen-underwriting-doubles-uk-sme-cyber-cover-limit-2026-06-08/</t>
        </is>
      </c>
      <c r="I21" s="2" t="inlineStr">
        <is>
          <t>2026-06-08</t>
        </is>
      </c>
    </row>
    <row r="22">
      <c r="A22" s="2" t="inlineStr">
        <is>
          <t>2026-07-07</t>
        </is>
      </c>
      <c r="B22" s="2" t="inlineStr">
        <is>
          <t>Brokers &amp; MGA/GA</t>
        </is>
      </c>
      <c r="C22" s="2" t="inlineStr">
        <is>
          <t>M&amp;A</t>
        </is>
      </c>
      <c r="D22" s="2" t="inlineStr">
        <is>
          <t>UK/Europe</t>
        </is>
      </c>
      <c r="E22" s="3" t="inlineStr">
        <is>
          <t>Specialist Risk Group snaps up London MGA and wholesale broker Superian</t>
        </is>
      </c>
      <c r="F22" s="3" t="inlineStr">
        <is>
          <t>SRG acquired Superian Insurance Group, a London wholesaler, retailer and MGA known for medical malpractice and healthcare liability expertise, expanding SRG's specialist distribution capacity.</t>
        </is>
      </c>
      <c r="G22" s="2" t="inlineStr">
        <is>
          <t>Insurance Journal</t>
        </is>
      </c>
      <c r="H22" s="2" t="inlineStr">
        <is>
          <t>https://www.insurancejournal.com/news/international/2026/07/02/876112.htm</t>
        </is>
      </c>
      <c r="I22" s="2" t="inlineStr">
        <is>
          <t>2026-07-02</t>
        </is>
      </c>
    </row>
    <row r="23">
      <c r="A23" s="2" t="inlineStr">
        <is>
          <t>2026-07-07</t>
        </is>
      </c>
      <c r="B23" s="2" t="inlineStr">
        <is>
          <t>Brokers &amp; MGA/GA</t>
        </is>
      </c>
      <c r="C23" s="2" t="inlineStr">
        <is>
          <t>People &amp; Leadership</t>
        </is>
      </c>
      <c r="D23" s="2" t="inlineStr">
        <is>
          <t>Global</t>
        </is>
      </c>
      <c r="E23" s="3" t="inlineStr">
        <is>
          <t>Liberty Mutual elevates Defne Turkes to lead its international insurance division</t>
        </is>
      </c>
      <c r="F23" s="3" t="inlineStr">
        <is>
          <t>Liberty Mutual named Defne Turkes president and managing director of Liberty International Insurance effective July 1, tasking her with growth across commercial and Asia retail markets.</t>
        </is>
      </c>
      <c r="G23" s="2" t="inlineStr">
        <is>
          <t>Risk &amp; Insurance</t>
        </is>
      </c>
      <c r="H23" s="2" t="inlineStr">
        <is>
          <t>https://riskandinsurance.com/defne-turkes-appointed-president-and-managing-director-of-liberty-international-insurance/</t>
        </is>
      </c>
      <c r="I23" s="2" t="inlineStr">
        <is>
          <t>2026-07-01</t>
        </is>
      </c>
    </row>
    <row r="24">
      <c r="A24" s="2" t="inlineStr">
        <is>
          <t>2026-07-07</t>
        </is>
      </c>
      <c r="B24" s="2" t="inlineStr">
        <is>
          <t>Brokers &amp; MGA/GA</t>
        </is>
      </c>
      <c r="C24" s="2" t="inlineStr">
        <is>
          <t>People &amp; Leadership</t>
        </is>
      </c>
      <c r="D24" s="2" t="inlineStr">
        <is>
          <t>Global</t>
        </is>
      </c>
      <c r="E24" s="3" t="inlineStr">
        <is>
          <t>Aon installs Pedro Penalva as new CEO of Latin America</t>
        </is>
      </c>
      <c r="F24" s="3" t="inlineStr">
        <is>
          <t>Aon named Pedro Penalva CEO of Latin America effective July 1, reporting directly to CEO Greg Case, as part of a broader regional leadership reshuffle spanning EMEA and Latin America.</t>
        </is>
      </c>
      <c r="G24" s="2" t="inlineStr">
        <is>
          <t>Insurance Journal</t>
        </is>
      </c>
      <c r="H24" s="2" t="inlineStr">
        <is>
          <t>https://www.insurancejournal.com/news/international/2026/05/19/870599.htm</t>
        </is>
      </c>
      <c r="I24" s="2" t="inlineStr">
        <is>
          <t>2026-05-19</t>
        </is>
      </c>
    </row>
    <row r="25">
      <c r="A25" s="2" t="inlineStr">
        <is>
          <t>2026-07-07</t>
        </is>
      </c>
      <c r="B25" s="2" t="inlineStr">
        <is>
          <t>Brokers &amp; MGA/GA</t>
        </is>
      </c>
      <c r="C25" s="2" t="inlineStr">
        <is>
          <t>Investments &amp; Funding</t>
        </is>
      </c>
      <c r="D25" s="2" t="inlineStr">
        <is>
          <t>United States</t>
        </is>
      </c>
      <c r="E25" s="3" t="inlineStr">
        <is>
          <t>MGA platform Novel Financial Holdings lands strategic backing from Flexpoint Ford</t>
        </is>
      </c>
      <c r="F25" s="3" t="inlineStr">
        <is>
          <t>Novel Financial Holdings, which oversees carriers writing about $2 billion in annual premium tied to managing general underwriters, received a growth investment from private equity firm Flexpoint Ford.</t>
        </is>
      </c>
      <c r="G25" s="2" t="inlineStr">
        <is>
          <t>The Insurer</t>
        </is>
      </c>
      <c r="H25" s="2" t="inlineStr">
        <is>
          <t>https://www.theinsurer.com/program-manager/news/flexpoint-ford-invests-in-bredahl-led-novel-financial-holdings-2026-06-22/</t>
        </is>
      </c>
      <c r="I25" s="2" t="inlineStr">
        <is>
          <t>2026-06-22</t>
        </is>
      </c>
    </row>
    <row r="26">
      <c r="A26" s="2" t="inlineStr">
        <is>
          <t>2026-07-07</t>
        </is>
      </c>
      <c r="B26" s="2" t="inlineStr">
        <is>
          <t>TPA</t>
        </is>
      </c>
      <c r="C26" s="2" t="inlineStr">
        <is>
          <t>People &amp; Leadership</t>
        </is>
      </c>
      <c r="D26" s="2" t="inlineStr">
        <is>
          <t>United States</t>
        </is>
      </c>
      <c r="E26" s="3" t="inlineStr">
        <is>
          <t>Point32Health's TPA arm HPI names Tim O'Brien as president</t>
        </is>
      </c>
      <c r="F26" s="3" t="inlineStr">
        <is>
          <t>Health Plans, Inc., a national third-party administrator of self-funded benefit plans, appointed Tim O'Brien president, bringing experience from leading Vitori Health through its sale to Global Excel Management.</t>
        </is>
      </c>
      <c r="G26" s="2" t="inlineStr">
        <is>
          <t>PRWeb</t>
        </is>
      </c>
      <c r="H26" s="2" t="inlineStr">
        <is>
          <t>https://www.prweb.com/releases/tim-obrien-to-lead-health-plans-inc-hpi-as-president-302805130.html</t>
        </is>
      </c>
      <c r="I26" s="2" t="inlineStr">
        <is>
          <t>2026-06-23</t>
        </is>
      </c>
    </row>
    <row r="27">
      <c r="A27" s="2" t="inlineStr">
        <is>
          <t>2026-07-07</t>
        </is>
      </c>
      <c r="B27" s="2" t="inlineStr">
        <is>
          <t>BrokerTech</t>
        </is>
      </c>
      <c r="C27" s="2" t="inlineStr">
        <is>
          <t>Technology &amp; AI</t>
        </is>
      </c>
      <c r="D27" s="2" t="inlineStr">
        <is>
          <t>United States</t>
        </is>
      </c>
      <c r="E27" s="3" t="inlineStr">
        <is>
          <t>Independent agency Barge Group consolidates quoting on EZLynx's rating platform</t>
        </is>
      </c>
      <c r="F27" s="3" t="inlineStr">
        <is>
          <t>Barge Group adopted EZLynx's integrated personal-lines rater to enter risk data once and pull real-time quotes from multiple carriers, aiming to speed proposals and free up time for prospecting.</t>
        </is>
      </c>
      <c r="G27" s="2" t="inlineStr">
        <is>
          <t>GlobeNewswire (via Manila Times)</t>
        </is>
      </c>
      <c r="H27" s="2" t="inlineStr">
        <is>
          <t>https://www.manilatimes.net/2026/07/07/tmt-newswire/globenewswire/barge-group-selects-ezlynx-to-accelerate-quoting-and-win-more-business/2379986</t>
        </is>
      </c>
      <c r="I27" s="2" t="inlineStr">
        <is>
          <t>2026-07-07</t>
        </is>
      </c>
    </row>
    <row r="28">
      <c r="A28" s="2" t="inlineStr">
        <is>
          <t>2026-07-07</t>
        </is>
      </c>
      <c r="B28" s="2" t="inlineStr">
        <is>
          <t>Insurtech</t>
        </is>
      </c>
      <c r="C28" s="2" t="inlineStr">
        <is>
          <t>Technology &amp; AI</t>
        </is>
      </c>
      <c r="D28" s="2" t="inlineStr">
        <is>
          <t>United States</t>
        </is>
      </c>
      <c r="E28" s="3" t="inlineStr">
        <is>
          <t>Insurance Journal previews industry 'Demo Day' showcasing agentic AI underwriting tools</t>
        </is>
      </c>
      <c r="F28" s="3" t="inlineStr">
        <is>
          <t>Insurance Journal spotlighted an upcoming Risky Future event where vendors will demo agentic AI tools built for underwriting, part of a broader industry push to move AI pilots into production for policy pricing.</t>
        </is>
      </c>
      <c r="G28" s="2" t="inlineStr">
        <is>
          <t>Insurance Journal</t>
        </is>
      </c>
      <c r="H28" s="2" t="inlineStr">
        <is>
          <t>https://www.insurancejournal.com/news/national/2026/07/07/876352.htm</t>
        </is>
      </c>
      <c r="I28" s="2" t="inlineStr">
        <is>
          <t>2026-07-07</t>
        </is>
      </c>
    </row>
    <row r="29">
      <c r="A29" s="2" t="inlineStr">
        <is>
          <t>2026-07-07</t>
        </is>
      </c>
      <c r="B29" s="2" t="inlineStr">
        <is>
          <t>Insurtech</t>
        </is>
      </c>
      <c r="C29" s="2" t="inlineStr">
        <is>
          <t>People &amp; Leadership</t>
        </is>
      </c>
      <c r="D29" s="2" t="inlineStr">
        <is>
          <t>United States</t>
        </is>
      </c>
      <c r="E29" s="3" t="inlineStr">
        <is>
          <t>Claims-communication insurtech Kyber named a 2026 PropertyCasualty360 Insurance Luminary</t>
        </is>
      </c>
      <c r="F29" s="3" t="inlineStr">
        <is>
          <t>Kyber was recognized in PropertyCasualty360's 2026 Insurance Luminaries class for workplace culture, with founder and CEO Arvind Sontha honored as Rising Star of the Year.</t>
        </is>
      </c>
      <c r="G29" s="2" t="inlineStr">
        <is>
          <t>EIN Presswire</t>
        </is>
      </c>
      <c r="H29" s="2" t="inlineStr">
        <is>
          <t>https://tech.einnews.com/pr_news/924853969/kyber-selected-as-a-propertycasualty360-2026-insurance-luminaries-winner</t>
        </is>
      </c>
      <c r="I29" s="2" t="inlineStr">
        <is>
          <t>2026-07-07</t>
        </is>
      </c>
    </row>
    <row r="30">
      <c r="A30" s="2" t="inlineStr">
        <is>
          <t>2026-07-07</t>
        </is>
      </c>
      <c r="B30" s="2" t="inlineStr">
        <is>
          <t>Insurtech</t>
        </is>
      </c>
      <c r="C30" s="2" t="inlineStr">
        <is>
          <t>Regulatory &amp; Policy</t>
        </is>
      </c>
      <c r="D30" s="2" t="inlineStr">
        <is>
          <t>APAC</t>
        </is>
      </c>
      <c r="E30" s="3" t="inlineStr">
        <is>
          <t>China issues first nationwide AI rulebook for banks and insurers</t>
        </is>
      </c>
      <c r="F30" s="3" t="inlineStr">
        <is>
          <t>China's National Financial Regulatory Administration published guidelines spanning governance, data handling and risk management for AI use across the banking and insurance sectors, its first comprehensive framework of its kind.</t>
        </is>
      </c>
      <c r="G30" s="2" t="inlineStr">
        <is>
          <t>The Asian Banker</t>
        </is>
      </c>
      <c r="H30" s="2" t="inlineStr">
        <is>
          <t>https://www.theasianbanker.com/updates-and-articles/pboc-s-ai-finance-strategy-signals-china-s-next-phase-of-fintech-reform</t>
        </is>
      </c>
      <c r="I30" s="2" t="inlineStr">
        <is>
          <t>2026-06-18</t>
        </is>
      </c>
    </row>
    <row r="31">
      <c r="A31" s="2" t="inlineStr">
        <is>
          <t>2026-07-07</t>
        </is>
      </c>
      <c r="B31" s="2" t="inlineStr">
        <is>
          <t>Health Insurance / Payer</t>
        </is>
      </c>
      <c r="C31" s="2" t="inlineStr">
        <is>
          <t>Market Economics</t>
        </is>
      </c>
      <c r="D31" s="2" t="inlineStr">
        <is>
          <t>United States</t>
        </is>
      </c>
      <c r="E31" s="3" t="inlineStr">
        <is>
          <t>Medicare's $50-a-month GLP-1 weight-loss drug bridge takes effect July 1</t>
        </is>
      </c>
      <c r="F31" s="3" t="inlineStr">
        <is>
          <t>Medicare Part D beneficiaries meeting BMI and health-condition criteria can now access GLP-1 obesity medications like Wegovy and Zepbound for $50 a month through 2027 under a new CMS pilot tied to manufacturer pricing deals.</t>
        </is>
      </c>
      <c r="G31" s="2" t="inlineStr">
        <is>
          <t>AARP</t>
        </is>
      </c>
      <c r="H31" s="2" t="inlineStr">
        <is>
          <t>https://www.aarp.org/medicare/glp1-weight-loss-copay-program/</t>
        </is>
      </c>
      <c r="I31" s="2" t="inlineStr">
        <is>
          <t>2026-07-01</t>
        </is>
      </c>
    </row>
    <row r="32">
      <c r="A32" s="2" t="inlineStr">
        <is>
          <t>2026-07-07</t>
        </is>
      </c>
      <c r="B32" s="2" t="inlineStr">
        <is>
          <t>Health Insurance / Payer</t>
        </is>
      </c>
      <c r="C32" s="2" t="inlineStr">
        <is>
          <t>Market Economics</t>
        </is>
      </c>
      <c r="D32" s="2" t="inlineStr">
        <is>
          <t>United States</t>
        </is>
      </c>
      <c r="E32" s="3" t="inlineStr">
        <is>
          <t>Payer stocks extend rally as UnitedHealth and Centene guidance eases cost-trend fears</t>
        </is>
      </c>
      <c r="F32" s="3" t="inlineStr">
        <is>
          <t>UnitedHealth shares have climbed roughly 78% off their yearly low after Centene's stronger-than-expected medical loss ratio followed similar upbeat signals from UnitedHealth and Elevance, prompting analyst upgrades ahead of Q2 earnings.</t>
        </is>
      </c>
      <c r="G32" s="2" t="inlineStr">
        <is>
          <t>Invezz</t>
        </is>
      </c>
      <c r="H32" s="2" t="inlineStr">
        <is>
          <t>https://invezz.com/news/2026/06/30/up-by-80-does-the-unitedhealth-group-have-more-upside/</t>
        </is>
      </c>
      <c r="I32" s="2" t="inlineStr">
        <is>
          <t>2026-06-30</t>
        </is>
      </c>
    </row>
    <row r="33">
      <c r="A33" s="2" t="inlineStr">
        <is>
          <t>2026-07-07</t>
        </is>
      </c>
      <c r="B33" s="2" t="inlineStr">
        <is>
          <t>Healthcare / Provider &amp; Clinical</t>
        </is>
      </c>
      <c r="C33" s="2" t="inlineStr">
        <is>
          <t>Market Economics</t>
        </is>
      </c>
      <c r="D33" s="2" t="inlineStr">
        <is>
          <t>UK/Europe</t>
        </is>
      </c>
      <c r="E33" s="3" t="inlineStr">
        <is>
          <t>NHS delayed hospital discharges now cost £2.7 billion a year, King's Fund finds</t>
        </is>
      </c>
      <c r="F33" s="3" t="inlineStr">
        <is>
          <t>Analysis from the King's Fund shows the cost of patients stuck in hospital beds despite being medically fit for discharge rose 7.5% in a year, driven by strained social care and community services capacity.</t>
        </is>
      </c>
      <c r="G33" s="2" t="inlineStr">
        <is>
          <t>Clinical Services Journal</t>
        </is>
      </c>
      <c r="H33" s="2" t="inlineStr">
        <is>
          <t>https://www.clinicalservicesjournal.com/story/51973/delayed-discharges-cost-to-nhs-rises-7-5-to-2-7bn</t>
        </is>
      </c>
      <c r="I33" s="2" t="inlineStr">
        <is>
          <t>2026-07-07</t>
        </is>
      </c>
    </row>
    <row r="34">
      <c r="A34" s="2" t="inlineStr">
        <is>
          <t>2026-07-07</t>
        </is>
      </c>
      <c r="B34" s="2" t="inlineStr">
        <is>
          <t>Healthcare / Provider &amp; Clinical</t>
        </is>
      </c>
      <c r="C34" s="2" t="inlineStr">
        <is>
          <t>Technology &amp; AI</t>
        </is>
      </c>
      <c r="D34" s="2" t="inlineStr">
        <is>
          <t>UK/Europe</t>
        </is>
      </c>
      <c r="E34" s="3" t="inlineStr">
        <is>
          <t>NICE greenlights two non-invasive tests to cut years-long endometriosis diagnosis delays</t>
        </is>
      </c>
      <c r="F34" s="3" t="inlineStr">
        <is>
          <t>NICE recommended NHS use of Endotest, a saliva-based biomarker test, and EndoSure, a gut-signal sensor test, for a three-year evidence-gathering period aimed at speeding endometriosis diagnosis in primary care.</t>
        </is>
      </c>
      <c r="G34" s="2" t="inlineStr">
        <is>
          <t>NICE</t>
        </is>
      </c>
      <c r="H34" s="2" t="inlineStr">
        <is>
          <t>https://www.nice.org.uk/news/articles/new-technologies-for-endometriosis-diagnosis-in-primary-care</t>
        </is>
      </c>
      <c r="I34" s="2" t="inlineStr">
        <is>
          <t>2026-07-07</t>
        </is>
      </c>
    </row>
    <row r="35">
      <c r="A35" s="2" t="inlineStr">
        <is>
          <t>2026-07-08</t>
        </is>
      </c>
      <c r="B35" s="2" t="inlineStr">
        <is>
          <t>Life &amp; Annuities</t>
        </is>
      </c>
      <c r="C35" s="2" t="inlineStr">
        <is>
          <t>Market Economics</t>
        </is>
      </c>
      <c r="D35" s="2" t="inlineStr">
        <is>
          <t>United States</t>
        </is>
      </c>
      <c r="E35" s="3" t="inlineStr">
        <is>
          <t>LIMRA projects 2026 U.S. annuity sales to hold above $450 billion after fourth straight record year</t>
        </is>
      </c>
      <c r="F35" s="3" t="inlineStr">
        <is>
          <t>LIMRA's latest outlook shows retail annuity sales finishing 2025 above $460 billion, with 2026 sales expected to stay above $450 billion as fixed and fixed-indexed products keep gaining share over traditional variable annuities.</t>
        </is>
      </c>
      <c r="G35" s="2" t="inlineStr">
        <is>
          <t>LIMRA</t>
        </is>
      </c>
      <c r="H35" s="2" t="inlineStr">
        <is>
          <t>https://www.limra.com/en/newsroom/industry-trends/2026/the-2026-annuity-sales-outlook-remains-strong/</t>
        </is>
      </c>
      <c r="I35" s="2" t="inlineStr">
        <is>
          <t>2026-07-01</t>
        </is>
      </c>
    </row>
    <row r="36">
      <c r="A36" s="2" t="inlineStr">
        <is>
          <t>2026-07-08</t>
        </is>
      </c>
      <c r="B36" s="2" t="inlineStr">
        <is>
          <t>Life &amp; Annuities</t>
        </is>
      </c>
      <c r="C36" s="2" t="inlineStr">
        <is>
          <t>Market Economics</t>
        </is>
      </c>
      <c r="D36" s="2" t="inlineStr">
        <is>
          <t>United States</t>
        </is>
      </c>
      <c r="E36" s="3" t="inlineStr">
        <is>
          <t>Life insurers enter 2026 with strong capital buffers and steady annuity demand</t>
        </is>
      </c>
      <c r="F36" s="3" t="inlineStr">
        <is>
          <t>InvestmentNews reports life insurers begin 2026 on solid footing, citing robust capital strength and continued consumer demand for annuities as key stabilizers for the sector heading into the year.</t>
        </is>
      </c>
      <c r="G36" s="2" t="inlineStr">
        <is>
          <t>InvestmentNews</t>
        </is>
      </c>
      <c r="H36" s="2" t="inlineStr">
        <is>
          <t>https://www.investmentnews.com/life-insurance-and-annuities/life-insurers-entered-2026-on-firm-footing-as-capital-strength-and-annuity-demand-hold/265147</t>
        </is>
      </c>
      <c r="I36" s="2" t="inlineStr">
        <is>
          <t>2026-07-01</t>
        </is>
      </c>
    </row>
    <row r="37">
      <c r="A37" s="2" t="inlineStr">
        <is>
          <t>2026-07-08</t>
        </is>
      </c>
      <c r="B37" s="2" t="inlineStr">
        <is>
          <t>Life &amp; Annuities</t>
        </is>
      </c>
      <c r="C37" s="2" t="inlineStr">
        <is>
          <t>M&amp;A</t>
        </is>
      </c>
      <c r="D37" s="2" t="inlineStr">
        <is>
          <t>APAC</t>
        </is>
      </c>
      <c r="E37" s="3" t="inlineStr">
        <is>
          <t>PayPay completes purchase of majority stake in T&amp;D Financial Life Insurance</t>
        </is>
      </c>
      <c r="F37" s="3" t="inlineStr">
        <is>
          <t>Japanese fintech PayPay finalized its acquisition of a 70.2% stake in T&amp;D Financial Life Insurance Company from T&amp;D Holdings, marking a notable fintech entry into life insurance underwriting.</t>
        </is>
      </c>
      <c r="G37" s="2" t="inlineStr">
        <is>
          <t>SEC EDGAR / PayPay Corp Form 6-K</t>
        </is>
      </c>
      <c r="H37" s="2" t="inlineStr">
        <is>
          <t>https://www.sec.gov/Archives/edgar/data/0002080845/000208084526000016/payp-ex99_1.htm</t>
        </is>
      </c>
      <c r="I37" s="2" t="inlineStr">
        <is>
          <t>2026-06-04</t>
        </is>
      </c>
    </row>
    <row r="38">
      <c r="A38" s="2" t="inlineStr">
        <is>
          <t>2026-07-08</t>
        </is>
      </c>
      <c r="B38" s="2" t="inlineStr">
        <is>
          <t>Life &amp; Annuities</t>
        </is>
      </c>
      <c r="C38" s="2" t="inlineStr">
        <is>
          <t>Technology &amp; AI</t>
        </is>
      </c>
      <c r="D38" s="2" t="inlineStr">
        <is>
          <t>Global</t>
        </is>
      </c>
      <c r="E38" s="3" t="inlineStr">
        <is>
          <t>Life and annuity carriers move from AI pilots to permanent transformation in 2026</t>
        </is>
      </c>
      <c r="F38" s="3" t="inlineStr">
        <is>
          <t>Industry analysis frames 2026 as the year carriers shift from experimenting with AI in underwriting and fraud prevention toward embedding it permanently, even as regulators push for stronger data integrity and cybersecurity standards.</t>
        </is>
      </c>
      <c r="G38" s="2" t="inlineStr">
        <is>
          <t>InsuranceNewsNet</t>
        </is>
      </c>
      <c r="H38" s="2" t="inlineStr">
        <is>
          <t>https://insurancenewsnet.com/innarticle/the-forces-shaping-life-and-annuities-in-2026</t>
        </is>
      </c>
      <c r="I38" s="2" t="inlineStr">
        <is>
          <t>2026-07-01</t>
        </is>
      </c>
    </row>
    <row r="39">
      <c r="A39" s="2" t="inlineStr">
        <is>
          <t>2026-07-08</t>
        </is>
      </c>
      <c r="B39" s="2" t="inlineStr">
        <is>
          <t>Life &amp; Annuities</t>
        </is>
      </c>
      <c r="C39" s="2" t="inlineStr">
        <is>
          <t>Regulatory &amp; Policy</t>
        </is>
      </c>
      <c r="D39" s="2" t="inlineStr">
        <is>
          <t>India</t>
        </is>
      </c>
      <c r="E39" s="3" t="inlineStr">
        <is>
          <t>IRDAI consults industry on insurer-funded policyholder protection fund</t>
        </is>
      </c>
      <c r="F39" s="3" t="inlineStr">
        <is>
          <t>India's insurance regulator opened a consultation on whether insurers should make ongoing contributions to a new Policyholders' Education and Protection Fund, with industry comments due mid-July.</t>
        </is>
      </c>
      <c r="G39" s="2" t="inlineStr">
        <is>
          <t>Insurance Business Asia</t>
        </is>
      </c>
      <c r="H39" s="2" t="inlineStr">
        <is>
          <t>https://www.insurancebusinessmag.com/asia/news/breaking-news/irdai-seeks-industry-input-on-insurerfunded-protection-scheme-580814.aspx</t>
        </is>
      </c>
      <c r="I39" s="2" t="inlineStr">
        <is>
          <t>2026-06-23</t>
        </is>
      </c>
    </row>
    <row r="40">
      <c r="A40" s="2" t="inlineStr">
        <is>
          <t>2026-07-08</t>
        </is>
      </c>
      <c r="B40" s="2" t="inlineStr">
        <is>
          <t>Retirement</t>
        </is>
      </c>
      <c r="C40" s="2" t="inlineStr">
        <is>
          <t>Technology &amp; AI</t>
        </is>
      </c>
      <c r="D40" s="2" t="inlineStr">
        <is>
          <t>United States</t>
        </is>
      </c>
      <c r="E40" s="3" t="inlineStr">
        <is>
          <t>Human Interest to take over 401(k) recordkeeping for UBS</t>
        </is>
      </c>
      <c r="F40" s="3" t="inlineStr">
        <is>
          <t>Human Interest will provide 401(k) recordkeeping services for UBS, using automated workflows integrated with over 500 payroll providers to track ACH debits, contribution flows, and funding status.</t>
        </is>
      </c>
      <c r="G40" s="2" t="inlineStr">
        <is>
          <t>401(k) Specialist</t>
        </is>
      </c>
      <c r="H40" s="2" t="inlineStr">
        <is>
          <t>https://401kspecialistmag.com/human-interest-to-provide-recordkeeping-for-ubs/</t>
        </is>
      </c>
      <c r="I40" s="2" t="inlineStr">
        <is>
          <t>2026-07-01</t>
        </is>
      </c>
    </row>
    <row r="41">
      <c r="A41" s="2" t="inlineStr">
        <is>
          <t>2026-07-08</t>
        </is>
      </c>
      <c r="B41" s="2" t="inlineStr">
        <is>
          <t>Retirement</t>
        </is>
      </c>
      <c r="C41" s="2" t="inlineStr">
        <is>
          <t>Market Economics</t>
        </is>
      </c>
      <c r="D41" s="2" t="inlineStr">
        <is>
          <t>United States</t>
        </is>
      </c>
      <c r="E41" s="3" t="inlineStr">
        <is>
          <t>Early look at 'How America Saves' 2026 points to record 401(k) balances on auto-enrollment strength</t>
        </is>
      </c>
      <c r="F41" s="3" t="inlineStr">
        <is>
          <t>A preview of Vanguard's forthcoming How America Saves 2026 report suggests automatic enrollment and auto-escalation features are pushing account balances to new highs despite market volatility.</t>
        </is>
      </c>
      <c r="G41" s="2" t="inlineStr">
        <is>
          <t>401(k) Specialist</t>
        </is>
      </c>
      <c r="H41" s="2" t="inlineStr">
        <is>
          <t>https://401kspecialistmag.com/how-america-saves-2026-preview-strong-market-auto-features-power-record-401k-balances/</t>
        </is>
      </c>
      <c r="I41" s="2" t="inlineStr">
        <is>
          <t>2026-07-01</t>
        </is>
      </c>
    </row>
    <row r="42">
      <c r="A42" s="2" t="inlineStr">
        <is>
          <t>2026-07-08</t>
        </is>
      </c>
      <c r="B42" s="2" t="inlineStr">
        <is>
          <t>Retirement</t>
        </is>
      </c>
      <c r="C42" s="2" t="inlineStr">
        <is>
          <t>Regulatory &amp; Policy</t>
        </is>
      </c>
      <c r="D42" s="2" t="inlineStr">
        <is>
          <t>United States</t>
        </is>
      </c>
      <c r="E42" s="3" t="inlineStr">
        <is>
          <t>2026 contribution limits rise to $24,500 for 401(k)-style plans</t>
        </is>
      </c>
      <c r="F42" s="3" t="inlineStr">
        <is>
          <t>The 2026 contribution limit for workers under 50 in job-based retirement accounts rose to $24,500, while workers aged 50-59 and 64-plus gained an $8,000 catch-up allowance, up from $7,500 in 2025.</t>
        </is>
      </c>
      <c r="G42" s="2" t="inlineStr">
        <is>
          <t>AARP</t>
        </is>
      </c>
      <c r="H42" s="2" t="inlineStr">
        <is>
          <t>https://www.aarp.org/money/retirement/biggest-changes-2026/</t>
        </is>
      </c>
      <c r="I42" s="2" t="inlineStr">
        <is>
          <t>2026-07-01</t>
        </is>
      </c>
    </row>
    <row r="43">
      <c r="A43" s="2" t="inlineStr">
        <is>
          <t>2026-07-08</t>
        </is>
      </c>
      <c r="B43" s="2" t="inlineStr">
        <is>
          <t>Retirement</t>
        </is>
      </c>
      <c r="C43" s="2" t="inlineStr">
        <is>
          <t>Market Economics</t>
        </is>
      </c>
      <c r="D43" s="2" t="inlineStr">
        <is>
          <t>UK/Europe</t>
        </is>
      </c>
      <c r="E43" s="3" t="inlineStr">
        <is>
          <t>UK pension risk transfer market on pace for record £70 billion in 2026</t>
        </is>
      </c>
      <c r="F43" s="3" t="inlineStr">
        <is>
          <t>Forecasts show the amount of UK defined-benefit pension risk transferred to insurers climbing roughly 15% in 2026 to about £70 billion, with the bulk annuity segment alone expected to top £50 billion for the first time.</t>
        </is>
      </c>
      <c r="G43" s="2" t="inlineStr">
        <is>
          <t>Employee Benefits</t>
        </is>
      </c>
      <c r="H43" s="2" t="inlineStr">
        <is>
          <t>https://employeebenefits.co.uk/pensions/pension-risk-transfer-market-forecast-to-reach-70-billion-in-2026/281865.article</t>
        </is>
      </c>
      <c r="I43" s="2" t="inlineStr">
        <is>
          <t>2026-07-01</t>
        </is>
      </c>
    </row>
    <row r="44">
      <c r="A44" s="2" t="inlineStr">
        <is>
          <t>2026-07-08</t>
        </is>
      </c>
      <c r="B44" s="2" t="inlineStr">
        <is>
          <t>Retirement</t>
        </is>
      </c>
      <c r="C44" s="2" t="inlineStr">
        <is>
          <t>Market Economics</t>
        </is>
      </c>
      <c r="D44" s="2" t="inlineStr">
        <is>
          <t>United States</t>
        </is>
      </c>
      <c r="E44" s="3" t="inlineStr">
        <is>
          <t>US pension risk transfer sales slipped to $49 billion in 2025 even as buy-in deals grew</t>
        </is>
      </c>
      <c r="F44" s="3" t="inlineStr">
        <is>
          <t>US pension risk transfer sales fell 6% year-over-year to $49 billion in 2025, but insurers report the buy-in segment kept expanding and expect that trend to continue through 2026.</t>
        </is>
      </c>
      <c r="G44" s="2" t="inlineStr">
        <is>
          <t>Pensions &amp; Investments</t>
        </is>
      </c>
      <c r="H44" s="2" t="inlineStr">
        <is>
          <t>https://www.pionline.com/institutional-investors/pension-risk-transfer/pi-pension-risk-transfer-2026-outlook-lawsuits/</t>
        </is>
      </c>
      <c r="I44" s="2" t="inlineStr">
        <is>
          <t>2026-07-01</t>
        </is>
      </c>
    </row>
    <row r="45">
      <c r="A45" s="2" t="inlineStr">
        <is>
          <t>2026-07-08</t>
        </is>
      </c>
      <c r="B45" s="2" t="inlineStr">
        <is>
          <t>Investments</t>
        </is>
      </c>
      <c r="C45" s="2" t="inlineStr">
        <is>
          <t>Investments &amp; Funding</t>
        </is>
      </c>
      <c r="D45" s="2" t="inlineStr">
        <is>
          <t>Global</t>
        </is>
      </c>
      <c r="E45" s="3" t="inlineStr">
        <is>
          <t>Insurance asset managers hunt for private-market opportunities as credit spreads stay tight</t>
        </is>
      </c>
      <c r="F45" s="3" t="inlineStr">
        <is>
          <t>With traditional credit spreads historically compressed, insurance asset managers are increasingly diversifying into private markets and alternative assets to sustain investment income, per a Pensions &amp; Investments special report.</t>
        </is>
      </c>
      <c r="G45" s="2" t="inlineStr">
        <is>
          <t>Pensions &amp; Investments</t>
        </is>
      </c>
      <c r="H45" s="2" t="inlineStr">
        <is>
          <t>https://www.pionline.com/institutional-investors/pi-insurance-asset-management-special-report-main-story-2026/</t>
        </is>
      </c>
      <c r="I45" s="2" t="inlineStr">
        <is>
          <t>2026-07-01</t>
        </is>
      </c>
    </row>
    <row r="46">
      <c r="A46" s="2" t="inlineStr">
        <is>
          <t>2026-07-08</t>
        </is>
      </c>
      <c r="B46" s="2" t="inlineStr">
        <is>
          <t>Investments</t>
        </is>
      </c>
      <c r="C46" s="2" t="inlineStr">
        <is>
          <t>Market Economics</t>
        </is>
      </c>
      <c r="D46" s="2" t="inlineStr">
        <is>
          <t>UK/Europe</t>
        </is>
      </c>
      <c r="E46" s="3" t="inlineStr">
        <is>
          <t>AXA balances insurance growth against long-term investment ambitions</t>
        </is>
      </c>
      <c r="F46" s="3" t="inlineStr">
        <is>
          <t>AXA is weighing continued insurance business expansion against its longer-horizon investment strategy as it navigates a shifting rate and asset-allocation environment.</t>
        </is>
      </c>
      <c r="G46" s="2" t="inlineStr">
        <is>
          <t>AD-HOC-NEWS</t>
        </is>
      </c>
      <c r="H46" s="2" t="inlineStr">
        <is>
          <t>https://www.ad-hoc-news.de/boerse/news/ueberblick/axa-balances-insurance-growth-and-long-term-investment-ambitions/69682677</t>
        </is>
      </c>
      <c r="I46" s="2" t="inlineStr">
        <is>
          <t>2026-07-01</t>
        </is>
      </c>
    </row>
    <row r="47">
      <c r="A47" s="2" t="inlineStr">
        <is>
          <t>2026-07-08</t>
        </is>
      </c>
      <c r="B47" s="2" t="inlineStr">
        <is>
          <t>Investments</t>
        </is>
      </c>
      <c r="C47" s="2" t="inlineStr">
        <is>
          <t>Investments &amp; Funding</t>
        </is>
      </c>
      <c r="D47" s="2" t="inlineStr">
        <is>
          <t>Global</t>
        </is>
      </c>
      <c r="E47" s="3" t="inlineStr">
        <is>
          <t>Mercer flags top investment considerations for insurers navigating 2026</t>
        </is>
      </c>
      <c r="F47" s="3" t="inlineStr">
        <is>
          <t>Mercer's 2026 market outlook highlights the investment themes insurers should weigh this year, including rate normalization, private-asset allocation, and portfolio resilience.</t>
        </is>
      </c>
      <c r="G47" s="2" t="inlineStr">
        <is>
          <t>Mercer</t>
        </is>
      </c>
      <c r="H47" s="2" t="inlineStr">
        <is>
          <t>https://www.mercer.com/insights/investments/market-outlook-and-trends/top-investment-considerations-for-insurers/</t>
        </is>
      </c>
      <c r="I47" s="2" t="inlineStr">
        <is>
          <t>2026-07-01</t>
        </is>
      </c>
    </row>
    <row r="48">
      <c r="A48" s="2" t="inlineStr">
        <is>
          <t>2026-07-08</t>
        </is>
      </c>
      <c r="B48" s="2" t="inlineStr">
        <is>
          <t>Investments</t>
        </is>
      </c>
      <c r="C48" s="2" t="inlineStr">
        <is>
          <t>Investments &amp; Funding</t>
        </is>
      </c>
      <c r="D48" s="2" t="inlineStr">
        <is>
          <t>India</t>
        </is>
      </c>
      <c r="E48" s="3" t="inlineStr">
        <is>
          <t>Mitigata secures $15 million to expand India cyber insurance underwriting</t>
        </is>
      </c>
      <c r="F48" s="3" t="inlineStr">
        <is>
          <t>India-focused insurtech Mitigata raised $15 million to build out cyber insurance coverage and risk-assessment tools for Indian businesses, part of a broader wave of AI-labeled underwriting funding.</t>
        </is>
      </c>
      <c r="G48" s="2" t="inlineStr">
        <is>
          <t>Digital Insurance</t>
        </is>
      </c>
      <c r="H48" s="2" t="inlineStr">
        <is>
          <t>https://www.dig-in.com/news/top-insurtech-funding-rounds-june-2026</t>
        </is>
      </c>
      <c r="I48" s="2" t="inlineStr">
        <is>
          <t>2026-06-01</t>
        </is>
      </c>
    </row>
    <row r="49">
      <c r="A49" s="2" t="inlineStr">
        <is>
          <t>2026-07-08</t>
        </is>
      </c>
      <c r="B49" s="2" t="inlineStr">
        <is>
          <t>Wealth Management</t>
        </is>
      </c>
      <c r="C49" s="2" t="inlineStr">
        <is>
          <t>M&amp;A</t>
        </is>
      </c>
      <c r="D49" s="2" t="inlineStr">
        <is>
          <t>United States</t>
        </is>
      </c>
      <c r="E49" s="3" t="inlineStr">
        <is>
          <t>RIA M&amp;A hits record $1.67 trillion in deal value in Q1 2026</t>
        </is>
      </c>
      <c r="F49" s="3" t="inlineStr">
        <is>
          <t>Echelon Partners reports RIA merger-and-acquisition activity reached a new quarterly record in Q1 2026, with $1.67 trillion in cumulative deal value as consolidation among registered investment advisors accelerates.</t>
        </is>
      </c>
      <c r="G49" s="2" t="inlineStr">
        <is>
          <t>InvestmentNews</t>
        </is>
      </c>
      <c r="H49" s="2" t="inlineStr">
        <is>
          <t>https://www.investmentnews.com/ria-news/ria-ma-hits-new-quarterly-record-in-q1-2026-with-167-trillion-in-deals/266421</t>
        </is>
      </c>
      <c r="I49" s="2" t="inlineStr">
        <is>
          <t>2026-07-01</t>
        </is>
      </c>
    </row>
    <row r="50">
      <c r="A50" s="2" t="inlineStr">
        <is>
          <t>2026-07-08</t>
        </is>
      </c>
      <c r="B50" s="2" t="inlineStr">
        <is>
          <t>Wealth Management</t>
        </is>
      </c>
      <c r="C50" s="2" t="inlineStr">
        <is>
          <t>M&amp;A</t>
        </is>
      </c>
      <c r="D50" s="2" t="inlineStr">
        <is>
          <t>United States</t>
        </is>
      </c>
      <c r="E50" s="3" t="inlineStr">
        <is>
          <t>Choreo continues acquisition run, adding Illinois-based RIA</t>
        </is>
      </c>
      <c r="F50" s="3" t="inlineStr">
        <is>
          <t>Choreo acquired an Illinois registered investment advisor as part of a string of 2026 deals under new CEO Jason Van de Loo, adding roughly $2 billion in combined assets under management this year.</t>
        </is>
      </c>
      <c r="G50" s="2" t="inlineStr">
        <is>
          <t>WealthManagement.com</t>
        </is>
      </c>
      <c r="H50" s="2" t="inlineStr">
        <is>
          <t>https://www.wealthmanagement.com/ria-news/choreo-acquires-illinois-ria-with-700m-in-assets</t>
        </is>
      </c>
      <c r="I50" s="2" t="inlineStr">
        <is>
          <t>2026-07-01</t>
        </is>
      </c>
    </row>
    <row r="51">
      <c r="A51" s="2" t="inlineStr">
        <is>
          <t>2026-07-08</t>
        </is>
      </c>
      <c r="B51" s="2" t="inlineStr">
        <is>
          <t>Wealth Management</t>
        </is>
      </c>
      <c r="C51" s="2" t="inlineStr">
        <is>
          <t>Technology &amp; AI</t>
        </is>
      </c>
      <c r="D51" s="2" t="inlineStr">
        <is>
          <t>United States</t>
        </is>
      </c>
      <c r="E51" s="3" t="inlineStr">
        <is>
          <t>Wealthtech roundup: AI-native platforms and prospecting tools gain traction among large RIAs</t>
        </is>
      </c>
      <c r="F51" s="3" t="inlineStr">
        <is>
          <t>A weekly wealthtech roundup covers AI-native wealth manager Arca raising $64 million with backing from Vanguard's former CEO, and a $17 billion RIA naming a money-in-motion prospecting platform as its enterprise-wide tool.</t>
        </is>
      </c>
      <c r="G51" s="2" t="inlineStr">
        <is>
          <t>WealthTech Strategy</t>
        </is>
      </c>
      <c r="H51" s="2" t="inlineStr">
        <is>
          <t>https://www.wealthtechstrategy.com/post/the-wealthtech-safari-week-of-july-3-2026</t>
        </is>
      </c>
      <c r="I51" s="2" t="inlineStr">
        <is>
          <t>2026-07-03</t>
        </is>
      </c>
    </row>
    <row r="52">
      <c r="A52" s="2" t="inlineStr">
        <is>
          <t>2026-07-08</t>
        </is>
      </c>
      <c r="B52" s="2" t="inlineStr">
        <is>
          <t>Wealth Management</t>
        </is>
      </c>
      <c r="C52" s="2" t="inlineStr">
        <is>
          <t>Technology &amp; AI</t>
        </is>
      </c>
      <c r="D52" s="2" t="inlineStr">
        <is>
          <t>United States</t>
        </is>
      </c>
      <c r="E52" s="3" t="inlineStr">
        <is>
          <t>Citi Wealth rolls out AI tools including AskWealth CIO and CitiScribe for advisors</t>
        </is>
      </c>
      <c r="F52" s="3" t="inlineStr">
        <is>
          <t>Citi Wealth unveiled new advisor-facing AI capabilities such as Portfolio Intelligence, AskWealth CIO, Client 360 and CitiScribe, aimed at delivering more data-driven, personalized client experiences.</t>
        </is>
      </c>
      <c r="G52" s="2" t="inlineStr">
        <is>
          <t>Citigroup</t>
        </is>
      </c>
      <c r="H52" s="2" t="inlineStr">
        <is>
          <t>https://www.citigroup.com/global/news/press-release/2026/citi-wealth-deploys-ai-powered-technology-to-enhance-client-experience</t>
        </is>
      </c>
      <c r="I52" s="2" t="inlineStr">
        <is>
          <t>2026-07-01</t>
        </is>
      </c>
    </row>
    <row r="53">
      <c r="A53" s="2" t="inlineStr">
        <is>
          <t>2026-07-08</t>
        </is>
      </c>
      <c r="B53" s="2" t="inlineStr">
        <is>
          <t>Property &amp; Casualty</t>
        </is>
      </c>
      <c r="C53" s="2" t="inlineStr">
        <is>
          <t>Market Economics</t>
        </is>
      </c>
      <c r="D53" s="2" t="inlineStr">
        <is>
          <t>United States</t>
        </is>
      </c>
      <c r="E53" s="3" t="inlineStr">
        <is>
          <t>P&amp;C market enters correction phase with significant property rate relief</t>
        </is>
      </c>
      <c r="F53" s="3" t="inlineStr">
        <is>
          <t>The U.S. property and casualty market is softening, with a quieter-than-expected 2025 hurricane season and record reinsurance capital driving rate decreases of 10-30% on shared and layered placements versus expiring terms.</t>
        </is>
      </c>
      <c r="G53" s="2" t="inlineStr">
        <is>
          <t>Risk &amp; Insurance</t>
        </is>
      </c>
      <c r="H53" s="2" t="inlineStr">
        <is>
          <t>https://riskandinsurance.com/pc-market-enters-correction-phase-with-significant-rate-relief-and-emerging-challenges/</t>
        </is>
      </c>
      <c r="I53" s="2" t="inlineStr">
        <is>
          <t>2026-07-01</t>
        </is>
      </c>
    </row>
    <row r="54">
      <c r="A54" s="2" t="inlineStr">
        <is>
          <t>2026-07-08</t>
        </is>
      </c>
      <c r="B54" s="2" t="inlineStr">
        <is>
          <t>Property &amp; Casualty</t>
        </is>
      </c>
      <c r="C54" s="2" t="inlineStr">
        <is>
          <t>Market Economics</t>
        </is>
      </c>
      <c r="D54" s="2" t="inlineStr">
        <is>
          <t>APAC</t>
        </is>
      </c>
      <c r="E54" s="3" t="inlineStr">
        <is>
          <t>Fitch keeps APAC insurance outlook neutral for 2026 despite rising claims costs</t>
        </is>
      </c>
      <c r="F54" s="3" t="inlineStr">
        <is>
          <t>Fitch Ratings maintained a neutral 2026 outlook for Asia-Pacific insurers, citing capital buffers and disciplined underwriting offsetting rising claims costs, with non-life premium growth forecast at 2.5%.</t>
        </is>
      </c>
      <c r="G54" s="2" t="inlineStr">
        <is>
          <t>InsuranceAsiaNews</t>
        </is>
      </c>
      <c r="H54" s="2" t="inlineStr">
        <is>
          <t>https://insuranceasianews.com/apac-insurance-outlook-neutral-for-2026-despite-rising-claims-cost-fitch/</t>
        </is>
      </c>
      <c r="I54" s="2" t="inlineStr">
        <is>
          <t>2026-01-15</t>
        </is>
      </c>
    </row>
    <row r="55">
      <c r="A55" s="2" t="inlineStr">
        <is>
          <t>2026-07-08</t>
        </is>
      </c>
      <c r="B55" s="2" t="inlineStr">
        <is>
          <t>Property &amp; Casualty</t>
        </is>
      </c>
      <c r="C55" s="2" t="inlineStr">
        <is>
          <t>People &amp; Leadership</t>
        </is>
      </c>
      <c r="D55" s="2" t="inlineStr">
        <is>
          <t>United States</t>
        </is>
      </c>
      <c r="E55" s="3" t="inlineStr">
        <is>
          <t>Kellen Booher named President &amp; CEO of CopperPoint Insurance</t>
        </is>
      </c>
      <c r="F55" s="3" t="inlineStr">
        <is>
          <t>CopperPoint Insurance named Kellen Booher as its new President and CEO, a leadership transition for the workers' compensation-focused P&amp;C carrier.</t>
        </is>
      </c>
      <c r="G55" s="2" t="inlineStr">
        <is>
          <t>PR Newswire</t>
        </is>
      </c>
      <c r="H55" s="2" t="inlineStr">
        <is>
          <t>https://www.prnewswire.com/news-releases/kellen-booher-named-president--ceo-of-copperpoint-insurance-302731454.html</t>
        </is>
      </c>
      <c r="I55" s="2" t="inlineStr">
        <is>
          <t>2026-07-01</t>
        </is>
      </c>
    </row>
    <row r="56">
      <c r="A56" s="2" t="inlineStr">
        <is>
          <t>2026-07-08</t>
        </is>
      </c>
      <c r="B56" s="2" t="inlineStr">
        <is>
          <t>Property &amp; Casualty</t>
        </is>
      </c>
      <c r="C56" s="2" t="inlineStr">
        <is>
          <t>People &amp; Leadership</t>
        </is>
      </c>
      <c r="D56" s="2" t="inlineStr">
        <is>
          <t>United States</t>
        </is>
      </c>
      <c r="E56" s="3" t="inlineStr">
        <is>
          <t>Progressive CFO to step down in July 2026 after a decade in the role</t>
        </is>
      </c>
      <c r="F56" s="3" t="inlineStr">
        <is>
          <t>Progressive's long-serving CFO is set to step down in July 2026, capping roughly 35 years with the auto and property insurer including a decade as chief financial officer.</t>
        </is>
      </c>
      <c r="G56" s="2" t="inlineStr">
        <is>
          <t>Life Insurance International</t>
        </is>
      </c>
      <c r="H56" s="2" t="inlineStr">
        <is>
          <t>https://www.lifeinsuranceinternational.com/news/progressive-cfo-step-down-july-2026/</t>
        </is>
      </c>
      <c r="I56" s="2" t="inlineStr">
        <is>
          <t>2026-07-01</t>
        </is>
      </c>
    </row>
    <row r="57">
      <c r="A57" s="2" t="inlineStr">
        <is>
          <t>2026-07-08</t>
        </is>
      </c>
      <c r="B57" s="2" t="inlineStr">
        <is>
          <t>Property &amp; Casualty</t>
        </is>
      </c>
      <c r="C57" s="2" t="inlineStr">
        <is>
          <t>Regulatory &amp; Policy</t>
        </is>
      </c>
      <c r="D57" s="2" t="inlineStr">
        <is>
          <t>India</t>
        </is>
      </c>
      <c r="E57" s="3" t="inlineStr">
        <is>
          <t>India raises insurer penalties tenfold under new insurance law amendments</t>
        </is>
      </c>
      <c r="F57" s="3" t="inlineStr">
        <is>
          <t>The maximum penalty for violations of India's Insurance Act and IRDAI Act increased tenfold, from ₹1 crore to ₹10 crore, under the newly enacted Sabka Bima Sabki Raksha (Amendment of Insurance Laws) Act.</t>
        </is>
      </c>
      <c r="G57" s="2" t="inlineStr">
        <is>
          <t>Business Standard</t>
        </is>
      </c>
      <c r="H57" s="2" t="inlineStr">
        <is>
          <t>https://www.business-standard.com/amp/finance/insurance/irdai-proposes-framework-for-regulation-making-public-consultations-126061701305_1.html</t>
        </is>
      </c>
      <c r="I57" s="2" t="inlineStr">
        <is>
          <t>2026-06-17</t>
        </is>
      </c>
    </row>
    <row r="58">
      <c r="A58" s="2" t="inlineStr">
        <is>
          <t>2026-07-08</t>
        </is>
      </c>
      <c r="B58" s="2" t="inlineStr">
        <is>
          <t>Brokers &amp; MGA/GA</t>
        </is>
      </c>
      <c r="C58" s="2" t="inlineStr">
        <is>
          <t>M&amp;A</t>
        </is>
      </c>
      <c r="D58" s="2" t="inlineStr">
        <is>
          <t>Global</t>
        </is>
      </c>
      <c r="E58" s="3" t="inlineStr">
        <is>
          <t>Acrisure completes acquisition of technology-driven property MGA Vave from Canopius</t>
        </is>
      </c>
      <c r="F58" s="3" t="inlineStr">
        <is>
          <t>Acrisure finalized its purchase of Vave, Canopius Group's technology-driven property managing general agent, expanding Acrisure's specialty MGA distribution footprint.</t>
        </is>
      </c>
      <c r="G58" s="2" t="inlineStr">
        <is>
          <t>Reinsurance News</t>
        </is>
      </c>
      <c r="H58" s="2" t="inlineStr">
        <is>
          <t>https://www.reinsurancene.ws/acrisure-completes-acquisition-of-mga-vave-from-canopius/</t>
        </is>
      </c>
      <c r="I58" s="2" t="inlineStr">
        <is>
          <t>2026-04-01</t>
        </is>
      </c>
    </row>
    <row r="59">
      <c r="A59" s="2" t="inlineStr">
        <is>
          <t>2026-07-08</t>
        </is>
      </c>
      <c r="B59" s="2" t="inlineStr">
        <is>
          <t>Brokers &amp; MGA/GA</t>
        </is>
      </c>
      <c r="C59" s="2" t="inlineStr">
        <is>
          <t>M&amp;A</t>
        </is>
      </c>
      <c r="D59" s="2" t="inlineStr">
        <is>
          <t>United States</t>
        </is>
      </c>
      <c r="E59" s="3" t="inlineStr">
        <is>
          <t>Brown &amp; Brown completes acquisition of specialty MGU Accession Risk Management</t>
        </is>
      </c>
      <c r="F59" s="3" t="inlineStr">
        <is>
          <t>Broker Brown &amp; Brown closed its acquisition of Accession Risk Management, a specialty managing general underwriter, broadening its wholesale distribution and underwriting capabilities.</t>
        </is>
      </c>
      <c r="G59" s="2" t="inlineStr">
        <is>
          <t>Insurance Business America</t>
        </is>
      </c>
      <c r="H59" s="2" t="inlineStr">
        <is>
          <t>https://www.insurancebusinessmag.com/us/news/mergers-acquisitions/brown-and-brown-completes-acquisition-of-specialty-mgu-accession-risk-management-544903.aspx</t>
        </is>
      </c>
      <c r="I59" s="2" t="inlineStr">
        <is>
          <t>2026-07-01</t>
        </is>
      </c>
    </row>
    <row r="60">
      <c r="A60" s="2" t="inlineStr">
        <is>
          <t>2026-07-08</t>
        </is>
      </c>
      <c r="B60" s="2" t="inlineStr">
        <is>
          <t>Brokers &amp; MGA/GA</t>
        </is>
      </c>
      <c r="C60" s="2" t="inlineStr">
        <is>
          <t>Market Economics</t>
        </is>
      </c>
      <c r="D60" s="2" t="inlineStr">
        <is>
          <t>United States</t>
        </is>
      </c>
      <c r="E60" s="3" t="inlineStr">
        <is>
          <t>MGA and MGU deal multiples hold firm as sector tops $102 billion in U.S. premium</t>
        </is>
      </c>
      <c r="F60" s="3" t="inlineStr">
        <is>
          <t>Lower mid-market MGA and MGU businesses are transacting at 10-14x adjusted EBITDA while platform-scale groups clear 15-22x, as industry estimates put MGAs at more than $102 billion in annual U.S. premium volume.</t>
        </is>
      </c>
      <c r="G60" s="2" t="inlineStr">
        <is>
          <t>CT Acquisitions</t>
        </is>
      </c>
      <c r="H60" s="2" t="inlineStr">
        <is>
          <t>https://ctacquisitions.com/guides/specialty-insurance-mga-2026/</t>
        </is>
      </c>
      <c r="I60" s="2" t="inlineStr">
        <is>
          <t>2026-07-01</t>
        </is>
      </c>
    </row>
    <row r="61">
      <c r="A61" s="2" t="inlineStr">
        <is>
          <t>2026-07-08</t>
        </is>
      </c>
      <c r="B61" s="2" t="inlineStr">
        <is>
          <t>Brokers &amp; MGA/GA</t>
        </is>
      </c>
      <c r="C61" s="2" t="inlineStr">
        <is>
          <t>People &amp; Leadership</t>
        </is>
      </c>
      <c r="D61" s="2" t="inlineStr">
        <is>
          <t>UK/Europe</t>
        </is>
      </c>
      <c r="E61" s="3" t="inlineStr">
        <is>
          <t>Specialty group CFC names new group CEO</t>
        </is>
      </c>
      <c r="F61" s="3" t="inlineStr">
        <is>
          <t>Specialty insurance group CFC named a new group chief executive expected to join during summer 2026 pending regulatory approval, with a 23-year company veteran serving as acting CEO in the interim.</t>
        </is>
      </c>
      <c r="G61" s="2" t="inlineStr">
        <is>
          <t>Insurance Business UK</t>
        </is>
      </c>
      <c r="H61" s="2" t="inlineStr">
        <is>
          <t>https://www.insurancebusinessmag.com/us/news/breaking-news/cfc-names-new-group-ceo-581527.aspx</t>
        </is>
      </c>
      <c r="I61" s="2" t="inlineStr">
        <is>
          <t>2026-07-01</t>
        </is>
      </c>
    </row>
    <row r="62">
      <c r="A62" s="2" t="inlineStr">
        <is>
          <t>2026-07-08</t>
        </is>
      </c>
      <c r="B62" s="2" t="inlineStr">
        <is>
          <t>TPA</t>
        </is>
      </c>
      <c r="C62" s="2" t="inlineStr">
        <is>
          <t>Technology &amp; AI</t>
        </is>
      </c>
      <c r="D62" s="2" t="inlineStr">
        <is>
          <t>United States</t>
        </is>
      </c>
      <c r="E62" s="3" t="inlineStr">
        <is>
          <t>Corgi Insurance launches AI-native third-party administrator Corgi Claims</t>
        </is>
      </c>
      <c r="F62" s="3" t="inlineStr">
        <is>
          <t>Corgi Insurance launched Corgi Claims, a full-service TPA pairing a nationwide network of more than 5,000 licensed adjusters with AI that reviews every claim on report, scoring severity and flagging coverage issues and missing documents.</t>
        </is>
      </c>
      <c r="G62" s="2" t="inlineStr">
        <is>
          <t>PR Newswire</t>
        </is>
      </c>
      <c r="H62" s="2" t="inlineStr">
        <is>
          <t>https://www.prnewswire.com/news-releases/corgi-insurance-launches-corgi-claims-the-ai-native-tpa-302813039.html</t>
        </is>
      </c>
      <c r="I62" s="2" t="inlineStr">
        <is>
          <t>2026-06-01</t>
        </is>
      </c>
    </row>
    <row r="63">
      <c r="A63" s="2" t="inlineStr">
        <is>
          <t>2026-07-08</t>
        </is>
      </c>
      <c r="B63" s="2" t="inlineStr">
        <is>
          <t>TPA</t>
        </is>
      </c>
      <c r="C63" s="2" t="inlineStr">
        <is>
          <t>Market Economics</t>
        </is>
      </c>
      <c r="D63" s="2" t="inlineStr">
        <is>
          <t>Global</t>
        </is>
      </c>
      <c r="E63" s="3" t="inlineStr">
        <is>
          <t>Global insurance TPA market revenue grows by $32 billion year-over-year</t>
        </is>
      </c>
      <c r="F63" s="3" t="inlineStr">
        <is>
          <t>A new market report finds the insurance third-party administrator sector's global revenue expanded by roughly $32 billion year-over-year, with AI-driven claims automation cited as a key growth driver through 2030.</t>
        </is>
      </c>
      <c r="G63" s="2" t="inlineStr">
        <is>
          <t>GlobeNewswire</t>
        </is>
      </c>
      <c r="H63" s="2" t="inlineStr">
        <is>
          <t>https://www.globenewswire.com/news-release/2026/04/27/3281499/0/en/insurance-third-party-administrators-tpas-global-market-report-2026-yoy-revenue-grew-by-32-billion-ai-driven-claims-automation-to-boost-insurance-tpa-growth-through-2030.html</t>
        </is>
      </c>
      <c r="I63" s="2" t="inlineStr">
        <is>
          <t>2026-04-27</t>
        </is>
      </c>
    </row>
    <row r="64">
      <c r="A64" s="2" t="inlineStr">
        <is>
          <t>2026-07-08</t>
        </is>
      </c>
      <c r="B64" s="2" t="inlineStr">
        <is>
          <t>FinTech</t>
        </is>
      </c>
      <c r="C64" s="2" t="inlineStr">
        <is>
          <t>Technology &amp; AI</t>
        </is>
      </c>
      <c r="D64" s="2" t="inlineStr">
        <is>
          <t>Global</t>
        </is>
      </c>
      <c r="E64" s="3" t="inlineStr">
        <is>
          <t>Palantir expands AI partnership with Mexico's largest insurer GNP Seguros</t>
        </is>
      </c>
      <c r="F64" s="3" t="inlineStr">
        <is>
          <t>Palantir Technologies expanded its enterprise agreement with GNP Seguros, its first publicly announced commercial customer in Latin America, to scale Foundry and AI Platform use across health, life, motor and property lines for fraud detection and claims.</t>
        </is>
      </c>
      <c r="G64" s="2" t="inlineStr">
        <is>
          <t>FinTech Global</t>
        </is>
      </c>
      <c r="H64" s="2" t="inlineStr">
        <is>
          <t>https://fintech.global/2026/07/07/gnp-seguros-expands-ai-partnership-with-palantir/</t>
        </is>
      </c>
      <c r="I64" s="2" t="inlineStr">
        <is>
          <t>2026-07-07</t>
        </is>
      </c>
    </row>
    <row r="65">
      <c r="A65" s="2" t="inlineStr">
        <is>
          <t>2026-07-08</t>
        </is>
      </c>
      <c r="B65" s="2" t="inlineStr">
        <is>
          <t>FinTech</t>
        </is>
      </c>
      <c r="C65" s="2" t="inlineStr">
        <is>
          <t>Technology &amp; AI</t>
        </is>
      </c>
      <c r="D65" s="2" t="inlineStr">
        <is>
          <t>UK/Europe</t>
        </is>
      </c>
      <c r="E65" s="3" t="inlineStr">
        <is>
          <t>ANNA Money embeds Admiral Business insurance directly into its small-business app</t>
        </is>
      </c>
      <c r="F65" s="3" t="inlineStr">
        <is>
          <t>Business account and tax platform ANNA Money partnered with Admiral Business to let small-business customers browse cover options, get information and obtain insurance quotes without leaving the ANNA app.</t>
        </is>
      </c>
      <c r="G65" s="2" t="inlineStr">
        <is>
          <t>FinTech Global</t>
        </is>
      </c>
      <c r="H65" s="2" t="inlineStr">
        <is>
          <t>https://fintech.global/2026/07/02/anna-money-brings-admiral-business-insurance-in-app/</t>
        </is>
      </c>
      <c r="I65" s="2" t="inlineStr">
        <is>
          <t>2026-07-02</t>
        </is>
      </c>
    </row>
    <row r="66">
      <c r="A66" s="2" t="inlineStr">
        <is>
          <t>2026-07-08</t>
        </is>
      </c>
      <c r="B66" s="2" t="inlineStr">
        <is>
          <t>FinTech</t>
        </is>
      </c>
      <c r="C66" s="2" t="inlineStr">
        <is>
          <t>M&amp;A</t>
        </is>
      </c>
      <c r="D66" s="2" t="inlineStr">
        <is>
          <t>UK/Europe</t>
        </is>
      </c>
      <c r="E66" s="3" t="inlineStr">
        <is>
          <t>SquareTrade launches licensed insurer entity in Brussels to reshape European strategy</t>
        </is>
      </c>
      <c r="F66" s="3" t="inlineStr">
        <is>
          <t>Warranty and protection-plan provider SquareTrade launched a newly licensed insurance entity in Brussels, bringing underwriting capabilities in-house as it accelerates growth across Europe.</t>
        </is>
      </c>
      <c r="G66" s="2" t="inlineStr">
        <is>
          <t>FinTech Global</t>
        </is>
      </c>
      <c r="H66" s="2" t="inlineStr">
        <is>
          <t>https://fintech.global/2026/07/06/squaretrade-reshapes-european-strategy-with-licensed-insurer/</t>
        </is>
      </c>
      <c r="I66" s="2" t="inlineStr">
        <is>
          <t>2026-07-06</t>
        </is>
      </c>
    </row>
    <row r="67">
      <c r="A67" s="2" t="inlineStr">
        <is>
          <t>2026-07-08</t>
        </is>
      </c>
      <c r="B67" s="2" t="inlineStr">
        <is>
          <t>FinTech</t>
        </is>
      </c>
      <c r="C67" s="2" t="inlineStr">
        <is>
          <t>Investments &amp; Funding</t>
        </is>
      </c>
      <c r="D67" s="2" t="inlineStr">
        <is>
          <t>United States</t>
        </is>
      </c>
      <c r="E67" s="3" t="inlineStr">
        <is>
          <t>US fintech investment grows in Q2 2026 on 23% jump in larger deals</t>
        </is>
      </c>
      <c r="F67" s="3" t="inlineStr">
        <is>
          <t>US fintech investment increased in the second quarter of 2026, driven by a 23% quarter-over-quarter rise in larger funding rounds, signaling renewed investor appetite for scaled fintech platforms.</t>
        </is>
      </c>
      <c r="G67" s="2" t="inlineStr">
        <is>
          <t>FinTech Global</t>
        </is>
      </c>
      <c r="H67" s="2" t="inlineStr">
        <is>
          <t>https://fintech.global/2026/07/06/us-fintech-investments-grew-in-q2-2026-driven-by-a-23-qoq-rise-in-larger-deals/</t>
        </is>
      </c>
      <c r="I67" s="2" t="inlineStr">
        <is>
          <t>2026-07-06</t>
        </is>
      </c>
    </row>
    <row r="68">
      <c r="A68" s="2" t="inlineStr">
        <is>
          <t>2026-07-08</t>
        </is>
      </c>
      <c r="B68" s="2" t="inlineStr">
        <is>
          <t>BrokerTech</t>
        </is>
      </c>
      <c r="C68" s="2" t="inlineStr">
        <is>
          <t>Investments &amp; Funding</t>
        </is>
      </c>
      <c r="D68" s="2" t="inlineStr">
        <is>
          <t>United States</t>
        </is>
      </c>
      <c r="E68" s="3" t="inlineStr">
        <is>
          <t>BrokerTech Ventures names 2026 accelerator cohort of nine insurtech startups</t>
        </is>
      </c>
      <c r="F68" s="3" t="inlineStr">
        <is>
          <t>BrokerTech Ventures selected nine insurtech startups for its 2026 accelerator cohort, each receiving $50,000 in seed funding and access to BTV's broker and carrier distribution network to pilot their technology.</t>
        </is>
      </c>
      <c r="G68" s="2" t="inlineStr">
        <is>
          <t>PR Newswire</t>
        </is>
      </c>
      <c r="H68" s="2" t="inlineStr">
        <is>
          <t>https://www.prnewswire.com/news-releases/brokertech-ventures-announces-2026-accelerator-cohort-sponsors-global-insurance-symposium-and-announces-dates-for-brokertech-connect-2026-302729482.html</t>
        </is>
      </c>
      <c r="I68" s="2" t="inlineStr">
        <is>
          <t>2026-04-14</t>
        </is>
      </c>
    </row>
    <row r="69">
      <c r="A69" s="2" t="inlineStr">
        <is>
          <t>2026-07-08</t>
        </is>
      </c>
      <c r="B69" s="2" t="inlineStr">
        <is>
          <t>BrokerTech</t>
        </is>
      </c>
      <c r="C69" s="2" t="inlineStr">
        <is>
          <t>People &amp; Leadership</t>
        </is>
      </c>
      <c r="D69" s="2" t="inlineStr">
        <is>
          <t>United States</t>
        </is>
      </c>
      <c r="E69" s="3" t="inlineStr">
        <is>
          <t>BrokerTech Ventures sets September dates for second annual BrokerTech Connect conference</t>
        </is>
      </c>
      <c r="F69" s="3" t="inlineStr">
        <is>
          <t>BrokerTech Ventures announced its second annual BrokerTech Connect conference will convene C-suite executives from brokerages, carriers, wholesalers, and insurtech startups in Chicago on September 1-2, 2026.</t>
        </is>
      </c>
      <c r="G69" s="2" t="inlineStr">
        <is>
          <t>PR Newswire</t>
        </is>
      </c>
      <c r="H69" s="2" t="inlineStr">
        <is>
          <t>http://www.prnewswire.com/news-releases/brokertech-ventures-announces-brokertech-connect-chicago-2026-bringing-together-insurance-and-insurtech-leaders-302804627.html</t>
        </is>
      </c>
      <c r="I69" s="2" t="inlineStr">
        <is>
          <t>2026-06-18</t>
        </is>
      </c>
    </row>
    <row r="70">
      <c r="A70" s="2" t="inlineStr">
        <is>
          <t>2026-07-08</t>
        </is>
      </c>
      <c r="B70" s="2" t="inlineStr">
        <is>
          <t>Insurtech</t>
        </is>
      </c>
      <c r="C70" s="2" t="inlineStr">
        <is>
          <t>Investments &amp; Funding</t>
        </is>
      </c>
      <c r="D70" s="2" t="inlineStr">
        <is>
          <t>Global</t>
        </is>
      </c>
      <c r="E70" s="3" t="inlineStr">
        <is>
          <t>AI-labeled startups capture record 95.2% of insurtech funding, Gallagher Re finds</t>
        </is>
      </c>
      <c r="F70" s="3" t="inlineStr">
        <is>
          <t>Global insurtech investment reached $1.63 billion in Q1 2026, up roughly 27% year-over-year, with AI-labeled companies accounting for a record 95.2% share of total funding according to Gallagher Re.</t>
        </is>
      </c>
      <c r="G70" s="2" t="inlineStr">
        <is>
          <t>Insurance Business Magazine</t>
        </is>
      </c>
      <c r="H70" s="2" t="inlineStr">
        <is>
          <t>https://www.insurancebusinessmag.com/reinsurance/news/breaking-news/ai-startups-capture-record-95-2-of-insurtech-funding--gallagher-re-574376.aspx</t>
        </is>
      </c>
      <c r="I70" s="2" t="inlineStr">
        <is>
          <t>2026-07-01</t>
        </is>
      </c>
    </row>
    <row r="71">
      <c r="A71" s="2" t="inlineStr">
        <is>
          <t>2026-07-08</t>
        </is>
      </c>
      <c r="B71" s="2" t="inlineStr">
        <is>
          <t>Insurtech</t>
        </is>
      </c>
      <c r="C71" s="2" t="inlineStr">
        <is>
          <t>Investments &amp; Funding</t>
        </is>
      </c>
      <c r="D71" s="2" t="inlineStr">
        <is>
          <t>United States</t>
        </is>
      </c>
      <c r="E71" s="3" t="inlineStr">
        <is>
          <t>Poetic raises $50 million Series A for underwriting and compliance automation</t>
        </is>
      </c>
      <c r="F71" s="3" t="inlineStr">
        <is>
          <t>Insurtech Poetic secured a $50 million Series A round for its underwriting and compliance automation platform, with investors including Kleiner Perkins, Founders Fund, First Harmonic and OpenAI.</t>
        </is>
      </c>
      <c r="G71" s="2" t="inlineStr">
        <is>
          <t>Digital Insurance</t>
        </is>
      </c>
      <c r="H71" s="2" t="inlineStr">
        <is>
          <t>https://www.dig-in.com/news/top-insurtech-funding-rounds-june-2026</t>
        </is>
      </c>
      <c r="I71" s="2" t="inlineStr">
        <is>
          <t>2026-06-01</t>
        </is>
      </c>
    </row>
    <row r="72">
      <c r="A72" s="2" t="inlineStr">
        <is>
          <t>2026-07-08</t>
        </is>
      </c>
      <c r="B72" s="2" t="inlineStr">
        <is>
          <t>Insurtech</t>
        </is>
      </c>
      <c r="C72" s="2" t="inlineStr">
        <is>
          <t>Investments &amp; Funding</t>
        </is>
      </c>
      <c r="D72" s="2" t="inlineStr">
        <is>
          <t>United States</t>
        </is>
      </c>
      <c r="E72" s="3" t="inlineStr">
        <is>
          <t>Honeycomb Insurance raises $40 million for digital P&amp;C carrier build-out</t>
        </is>
      </c>
      <c r="F72" s="3" t="inlineStr">
        <is>
          <t>Digital P&amp;C insurer Honeycomb Insurance raised $40 million from Zeev Ventures, Ibex Investors, Peakline and other investors to expand its underwriting technology and product lines.</t>
        </is>
      </c>
      <c r="G72" s="2" t="inlineStr">
        <is>
          <t>Digital Insurance</t>
        </is>
      </c>
      <c r="H72" s="2" t="inlineStr">
        <is>
          <t>https://www.dig-in.com/news/top-insurtech-funding-rounds-june-2026</t>
        </is>
      </c>
      <c r="I72" s="2" t="inlineStr">
        <is>
          <t>2026-06-01</t>
        </is>
      </c>
    </row>
    <row r="73">
      <c r="A73" s="2" t="inlineStr">
        <is>
          <t>2026-07-08</t>
        </is>
      </c>
      <c r="B73" s="2" t="inlineStr">
        <is>
          <t>Insurtech</t>
        </is>
      </c>
      <c r="C73" s="2" t="inlineStr">
        <is>
          <t>Technology &amp; AI</t>
        </is>
      </c>
      <c r="D73" s="2" t="inlineStr">
        <is>
          <t>Global</t>
        </is>
      </c>
      <c r="E73" s="3" t="inlineStr">
        <is>
          <t>AI collapses insurance quote turnaround from days to minutes, industry data shows</t>
        </is>
      </c>
      <c r="F73" s="3" t="inlineStr">
        <is>
          <t>Industry data cited alongside recent insurtech funding rounds shows AI enabling submission-to-quote timelines to shrink from three days to three minutes and straight-through processing rates to jump from 10-15% to 70-90%.</t>
        </is>
      </c>
      <c r="G73" s="2" t="inlineStr">
        <is>
          <t>Digital Insurance</t>
        </is>
      </c>
      <c r="H73" s="2" t="inlineStr">
        <is>
          <t>https://www.dig-in.com/news/top-insurtech-funding-rounds-june-2026</t>
        </is>
      </c>
      <c r="I73" s="2" t="inlineStr">
        <is>
          <t>2026-06-01</t>
        </is>
      </c>
    </row>
    <row r="74">
      <c r="A74" s="2" t="inlineStr">
        <is>
          <t>2026-07-08</t>
        </is>
      </c>
      <c r="B74" s="2" t="inlineStr">
        <is>
          <t>Health Insurance / Payer</t>
        </is>
      </c>
      <c r="C74" s="2" t="inlineStr">
        <is>
          <t>Market Economics</t>
        </is>
      </c>
      <c r="D74" s="2" t="inlineStr">
        <is>
          <t>United States</t>
        </is>
      </c>
      <c r="E74" s="3" t="inlineStr">
        <is>
          <t>Medicare Advantage penetration holds at 55% as UnitedHealth and Humana near half of enrollment</t>
        </is>
      </c>
      <c r="F74" s="3" t="inlineStr">
        <is>
          <t>KFF finds Medicare Advantage penetration steady at 55% as of July 1, 2026, with UnitedHealth Group and Humana together accounting for 46% of enrollees even as UnitedHealth's share slipped and Humana's grew.</t>
        </is>
      </c>
      <c r="G74" s="2" t="inlineStr">
        <is>
          <t>KFF</t>
        </is>
      </c>
      <c r="H74" s="2" t="inlineStr">
        <is>
          <t>https://www.kff.org/medicare/medicare-advantage-in-2026-enrollment-update-and-key-trends/</t>
        </is>
      </c>
      <c r="I74" s="2" t="inlineStr">
        <is>
          <t>2026-07-01</t>
        </is>
      </c>
    </row>
    <row r="75">
      <c r="A75" s="2" t="inlineStr">
        <is>
          <t>2026-07-08</t>
        </is>
      </c>
      <c r="B75" s="2" t="inlineStr">
        <is>
          <t>Health Insurance / Payer</t>
        </is>
      </c>
      <c r="C75" s="2" t="inlineStr">
        <is>
          <t>Regulatory &amp; Policy</t>
        </is>
      </c>
      <c r="D75" s="2" t="inlineStr">
        <is>
          <t>United States</t>
        </is>
      </c>
      <c r="E75" s="3" t="inlineStr">
        <is>
          <t>ACA insurers seek 10-20% premium increases for 2027 plans</t>
        </is>
      </c>
      <c r="F75" s="3" t="inlineStr">
        <is>
          <t>Insurers filed proposed 2027 ACA marketplace premiums by the July 15 deadline, with most payers requesting increases in the 10-20% range, setting up another round of affordability debate ahead of open enrollment.</t>
        </is>
      </c>
      <c r="G75" s="2" t="inlineStr">
        <is>
          <t>Healthcare Dive</t>
        </is>
      </c>
      <c r="H75" s="2" t="inlineStr">
        <is>
          <t>https://www.healthcaredive.com/news/affordable-care-act-premium-increase-2027-kff-peterson-center-healthcare/824695/</t>
        </is>
      </c>
      <c r="I75" s="2" t="inlineStr">
        <is>
          <t>2026-07-01</t>
        </is>
      </c>
    </row>
    <row r="76">
      <c r="A76" s="2" t="inlineStr">
        <is>
          <t>2026-07-08</t>
        </is>
      </c>
      <c r="B76" s="2" t="inlineStr">
        <is>
          <t>Health Insurance / Payer</t>
        </is>
      </c>
      <c r="C76" s="2" t="inlineStr">
        <is>
          <t>Regulatory &amp; Policy</t>
        </is>
      </c>
      <c r="D76" s="2" t="inlineStr">
        <is>
          <t>United States</t>
        </is>
      </c>
      <c r="E76" s="3" t="inlineStr">
        <is>
          <t>Express Scripts becomes first major PBM to settle with FTC over insulin pricing practices</t>
        </is>
      </c>
      <c r="F76" s="3" t="inlineStr">
        <is>
          <t>Cigna's Express Scripts settled FTC allegations that it inflated insulin costs through secretive manufacturer deals, agreeing to eliminate spread pricing and delink compensation from drug list prices ahead of 2027 reforms.</t>
        </is>
      </c>
      <c r="G76" s="2" t="inlineStr">
        <is>
          <t>HLTH</t>
        </is>
      </c>
      <c r="H76" s="2" t="inlineStr">
        <is>
          <t>https://hlth.com/insights/articles/the-ftc-just-settled-with-a-pbm-what-s-actually-changing-in-drug-pricing</t>
        </is>
      </c>
      <c r="I76" s="2" t="inlineStr">
        <is>
          <t>2026-07-01</t>
        </is>
      </c>
    </row>
    <row r="77">
      <c r="A77" s="2" t="inlineStr">
        <is>
          <t>2026-07-08</t>
        </is>
      </c>
      <c r="B77" s="2" t="inlineStr">
        <is>
          <t>Health Insurance / Payer</t>
        </is>
      </c>
      <c r="C77" s="2" t="inlineStr">
        <is>
          <t>Regulatory &amp; Policy</t>
        </is>
      </c>
      <c r="D77" s="2" t="inlineStr">
        <is>
          <t>United States</t>
        </is>
      </c>
      <c r="E77" s="3" t="inlineStr">
        <is>
          <t>Congress enacts PBM reforms delinking Medicare Part D compensation from drug prices</t>
        </is>
      </c>
      <c r="F77" s="3" t="inlineStr">
        <is>
          <t>New federal legislation delinks pharmacy benefit manager compensation from drug prices in Medicare Part D, shifting to flat 'bona fide service fees' and prohibiting Medicaid spread pricing under a pass-through model.</t>
        </is>
      </c>
      <c r="G77" s="2" t="inlineStr">
        <is>
          <t>AJMC</t>
        </is>
      </c>
      <c r="H77" s="2" t="inlineStr">
        <is>
          <t>https://www.ajmc.com/view/pbm-reforms-signed-into-law-reshaping-medicare-part-d-drug-pricing-transparency</t>
        </is>
      </c>
      <c r="I77" s="2" t="inlineStr">
        <is>
          <t>2026-02-01</t>
        </is>
      </c>
    </row>
    <row r="78">
      <c r="A78" s="2" t="inlineStr">
        <is>
          <t>2026-07-08</t>
        </is>
      </c>
      <c r="B78" s="2" t="inlineStr">
        <is>
          <t>Healthcare / Provider &amp; Clinical</t>
        </is>
      </c>
      <c r="C78" s="2" t="inlineStr">
        <is>
          <t>Technology &amp; AI</t>
        </is>
      </c>
      <c r="D78" s="2" t="inlineStr">
        <is>
          <t>APAC</t>
        </is>
      </c>
      <c r="E78" s="3" t="inlineStr">
        <is>
          <t>AI in APAC healthcare enters a new phase in 2026</t>
        </is>
      </c>
      <c r="F78" s="3" t="inlineStr">
        <is>
          <t>Asia-Pacific health systems are moving beyond pilot-stage AI deployments in 2026, with broader adoption of clinical decision support and imaging tools across the region's hospitals, per Healthcare IT News.</t>
        </is>
      </c>
      <c r="G78" s="2" t="inlineStr">
        <is>
          <t>Healthcare IT News</t>
        </is>
      </c>
      <c r="H78" s="2" t="inlineStr">
        <is>
          <t>https://www.healthcareitnews.com/news/asia/apac-ai-healthcare-enters-new-phase-2026</t>
        </is>
      </c>
      <c r="I78" s="2" t="inlineStr">
        <is>
          <t>2026-07-01</t>
        </is>
      </c>
    </row>
    <row r="79">
      <c r="A79" s="2" t="inlineStr">
        <is>
          <t>2026-07-08</t>
        </is>
      </c>
      <c r="B79" s="2" t="inlineStr">
        <is>
          <t>Healthcare / Provider &amp; Clinical</t>
        </is>
      </c>
      <c r="C79" s="2" t="inlineStr">
        <is>
          <t>Technology &amp; AI</t>
        </is>
      </c>
      <c r="D79" s="2" t="inlineStr">
        <is>
          <t>United States</t>
        </is>
      </c>
      <c r="E79" s="3" t="inlineStr">
        <is>
          <t>27% of health systems now hold commercial AI licenses to ease clinical workload</t>
        </is>
      </c>
      <c r="F79" s="3" t="inlineStr">
        <is>
          <t>A new survey finds 27% of U.S. health systems have signed commercial AI licenses aimed at reducing clinician workload, part of a broader push to integrate predictive AI tools with electronic health records.</t>
        </is>
      </c>
      <c r="G79" s="2" t="inlineStr">
        <is>
          <t>PYMNTS</t>
        </is>
      </c>
      <c r="H79" s="2" t="inlineStr">
        <is>
          <t>https://www.pymnts.com/artificial-intelligence-2/2026/27percent-health-systems-have-commercial-ai-licenses</t>
        </is>
      </c>
      <c r="I79" s="2" t="inlineStr">
        <is>
          <t>2026-07-01</t>
        </is>
      </c>
    </row>
    <row r="80">
      <c r="A80" s="2" t="inlineStr">
        <is>
          <t>2026-07-08</t>
        </is>
      </c>
      <c r="B80" s="2" t="inlineStr">
        <is>
          <t>Healthcare / Provider &amp; Clinical</t>
        </is>
      </c>
      <c r="C80" s="2" t="inlineStr">
        <is>
          <t>Technology &amp; AI</t>
        </is>
      </c>
      <c r="D80" s="2" t="inlineStr">
        <is>
          <t>United States</t>
        </is>
      </c>
      <c r="E80" s="3" t="inlineStr">
        <is>
          <t>Health IT vendors roll out new radiology and nursing documentation AI tools</t>
        </is>
      </c>
      <c r="F80" s="3" t="inlineStr">
        <is>
          <t>A July 2026 health IT product roundup highlights new AI radiology draft-reporting tools designed to integrate with existing systems without platform migrations, alongside expanded ambient documentation tools for inpatient nursing workflows.</t>
        </is>
      </c>
      <c r="G80" s="2" t="inlineStr">
        <is>
          <t>Healthcare NOW Radio</t>
        </is>
      </c>
      <c r="H80" s="2" t="inlineStr">
        <is>
          <t>https://www.healthcarenowradio.com/health-it-product-news-report-july-2026/</t>
        </is>
      </c>
      <c r="I80" s="2" t="inlineStr">
        <is>
          <t>2026-07-01</t>
        </is>
      </c>
    </row>
    <row r="81">
      <c r="A81" s="2" t="inlineStr">
        <is>
          <t>2026-08-05</t>
        </is>
      </c>
      <c r="B81" s="2" t="inlineStr">
        <is>
          <t>Life &amp; Annuities</t>
        </is>
      </c>
      <c r="C81" s="2" t="inlineStr">
        <is>
          <t>Market Economics</t>
        </is>
      </c>
      <c r="D81" s="2" t="inlineStr">
        <is>
          <t>United States</t>
        </is>
      </c>
      <c r="E81" s="3" t="inlineStr">
        <is>
          <t>US annuity sales set record $123.9B in Q2 2026 as RILA and SPIA both hit highs</t>
        </is>
      </c>
      <c r="F81" s="3" t="inlineStr">
        <is>
          <t>LIMRA's latest survey shows total annuity sales rose 4% year-over-year to a record $123.9 billion in Q2 2026, an 11th straight quarter above $100 billion, with registered index-linked and single-premium immediate annuities each setting their own quarterly records.</t>
        </is>
      </c>
      <c r="G81" s="2" t="inlineStr">
        <is>
          <t>InsuranceNewsNet</t>
        </is>
      </c>
      <c r="H81" s="2" t="inlineStr">
        <is>
          <t>https://insurancenewsnet.com/innarticle/limra-annuity-sales-set-new-quarterly-record-with-123-9b-in-q2</t>
        </is>
      </c>
      <c r="I81" s="2" t="inlineStr">
        <is>
          <t>2026-08-04</t>
        </is>
      </c>
    </row>
    <row r="82">
      <c r="A82" s="2" t="inlineStr">
        <is>
          <t>2026-08-05</t>
        </is>
      </c>
      <c r="B82" s="2" t="inlineStr">
        <is>
          <t>Life &amp; Annuities</t>
        </is>
      </c>
      <c r="C82" s="2" t="inlineStr">
        <is>
          <t>Technology &amp; AI</t>
        </is>
      </c>
      <c r="D82" s="2" t="inlineStr">
        <is>
          <t>United States</t>
        </is>
      </c>
      <c r="E82" s="3" t="inlineStr">
        <is>
          <t>AI is collapsing life insurance underwriting times from days to minutes</t>
        </is>
      </c>
      <c r="F82" s="3" t="inlineStr">
        <is>
          <t>Insurers report straight-through processing rates climbing from roughly 10-15% to 70-90% in AI-enabled underwriting operations, with decision times dropping from three days to as little as three minutes in some cases.</t>
        </is>
      </c>
      <c r="G82" s="2" t="inlineStr">
        <is>
          <t>Insurance Business America</t>
        </is>
      </c>
      <c r="H82" s="2" t="inlineStr">
        <is>
          <t>https://www.insurancebusinessmag.com/us/news/life-insurance/ai-adoption-accelerates-in-life-insurance-underwriting-570071.aspx</t>
        </is>
      </c>
      <c r="I82" s="2" t="inlineStr">
        <is>
          <t>2026-07-20</t>
        </is>
      </c>
    </row>
    <row r="83">
      <c r="A83" s="2" t="inlineStr">
        <is>
          <t>2026-08-05</t>
        </is>
      </c>
      <c r="B83" s="2" t="inlineStr">
        <is>
          <t>Retirement</t>
        </is>
      </c>
      <c r="C83" s="2" t="inlineStr">
        <is>
          <t>Technology &amp; AI</t>
        </is>
      </c>
      <c r="D83" s="2" t="inlineStr">
        <is>
          <t>United States</t>
        </is>
      </c>
      <c r="E83" s="3" t="inlineStr">
        <is>
          <t>Recordkeepers still lag on integrating multiple student-loan repayment match programs</t>
        </is>
      </c>
      <c r="F83" s="3" t="inlineStr">
        <is>
          <t>A 2026 PLANSPONSOR survey found only about a fifth of recordkeepers let plan sponsors choose among multiple student-loan repayment match programs, with roughly a third offering none at all.</t>
        </is>
      </c>
      <c r="G83" s="2" t="inlineStr">
        <is>
          <t>PLANSPONSOR</t>
        </is>
      </c>
      <c r="H83" s="2" t="inlineStr">
        <is>
          <t>https://www.plansponsor.com/surveys/2026-recordkeeping-survey/</t>
        </is>
      </c>
      <c r="I83" s="2" t="inlineStr">
        <is>
          <t>2026-07-15</t>
        </is>
      </c>
    </row>
    <row r="84">
      <c r="A84" s="2" t="inlineStr">
        <is>
          <t>2026-08-05</t>
        </is>
      </c>
      <c r="B84" s="2" t="inlineStr">
        <is>
          <t>Retirement</t>
        </is>
      </c>
      <c r="C84" s="2" t="inlineStr">
        <is>
          <t>Regulatory &amp; Policy</t>
        </is>
      </c>
      <c r="D84" s="2" t="inlineStr">
        <is>
          <t>United States</t>
        </is>
      </c>
      <c r="E84" s="3" t="inlineStr">
        <is>
          <t>401(k) elective deferral cap rises to $24500 for 2026</t>
        </is>
      </c>
      <c r="F84" s="3" t="inlineStr">
        <is>
          <t>The IRS increased the annual elective deferral limit for 401(k) and similar plans to $24,500 for 2026, requiring recordkeeping platforms and plan sponsors to update contribution systems and participant communications.</t>
        </is>
      </c>
      <c r="G84" s="2" t="inlineStr">
        <is>
          <t>Adams Brown</t>
        </is>
      </c>
      <c r="H84" s="2" t="inlineStr">
        <is>
          <t>https://www.adamsbrownwc.com/blog/what-401k-plan-managers-need-to-know-about-2026-contribution-limits/</t>
        </is>
      </c>
      <c r="I84" s="2" t="inlineStr">
        <is>
          <t>2026-07-01</t>
        </is>
      </c>
    </row>
    <row r="85">
      <c r="A85" s="2" t="inlineStr">
        <is>
          <t>2026-08-05</t>
        </is>
      </c>
      <c r="B85" s="2" t="inlineStr">
        <is>
          <t>Investments</t>
        </is>
      </c>
      <c r="C85" s="2" t="inlineStr">
        <is>
          <t>M&amp;A</t>
        </is>
      </c>
      <c r="D85" s="2" t="inlineStr">
        <is>
          <t>APAC</t>
        </is>
      </c>
      <c r="E85" s="3" t="inlineStr">
        <is>
          <t>Allianz to buy UOB's asset management arm for about $433M</t>
        </is>
      </c>
      <c r="F85" s="3" t="inlineStr">
        <is>
          <t>Allianz Global Investors agreed to acquire United Overseas Bank's asset management unit for roughly S$555 million, part of a push by the German insurer's CEO to expand its footprint across Southeast Asia.</t>
        </is>
      </c>
      <c r="G85" s="2" t="inlineStr">
        <is>
          <t>Bloomberg</t>
        </is>
      </c>
      <c r="H85" s="2" t="inlineStr">
        <is>
          <t>https://www.bloomberg.com/news/articles/2026-08-05/allianzgi-to-buy-uob-asset-management-to-grow-in-southeast-asia</t>
        </is>
      </c>
      <c r="I85" s="2" t="inlineStr">
        <is>
          <t>2026-08-05</t>
        </is>
      </c>
    </row>
    <row r="86">
      <c r="A86" s="2" t="inlineStr">
        <is>
          <t>2026-08-05</t>
        </is>
      </c>
      <c r="B86" s="2" t="inlineStr">
        <is>
          <t>Investments</t>
        </is>
      </c>
      <c r="C86" s="2" t="inlineStr">
        <is>
          <t>Market Economics</t>
        </is>
      </c>
      <c r="D86" s="2" t="inlineStr">
        <is>
          <t>United States</t>
        </is>
      </c>
      <c r="E86" s="3" t="inlineStr">
        <is>
          <t>Equitable Holdings posts strong Q2 organic growth across retirement and wealth</t>
        </is>
      </c>
      <c r="F86" s="3" t="inlineStr">
        <is>
          <t>Equitable Holdings reported $1.7 billion of net inflows in its Retirement business and $2.0 billion of advisory net inflows in Wealth Management for the second quarter of 2026, alongside continued inflows at AllianceBernstein.</t>
        </is>
      </c>
      <c r="G86" s="2" t="inlineStr">
        <is>
          <t>InsuranceNewsNet</t>
        </is>
      </c>
      <c r="H86" s="2" t="inlineStr">
        <is>
          <t>https://insurancenewsnet.com/oarticle/equitable-holdings-reports-second-quarter-2026-results</t>
        </is>
      </c>
      <c r="I86" s="2" t="inlineStr">
        <is>
          <t>2026-08-04</t>
        </is>
      </c>
    </row>
    <row r="87">
      <c r="A87" s="2" t="inlineStr">
        <is>
          <t>2026-08-05</t>
        </is>
      </c>
      <c r="B87" s="2" t="inlineStr">
        <is>
          <t>Investments</t>
        </is>
      </c>
      <c r="C87" s="2" t="inlineStr">
        <is>
          <t>Market Economics</t>
        </is>
      </c>
      <c r="D87" s="2" t="inlineStr">
        <is>
          <t>Global</t>
        </is>
      </c>
      <c r="E87" s="3" t="inlineStr">
        <is>
          <t>Majority of insurers plan to grow private credit exposure despite rising defaults</t>
        </is>
      </c>
      <c r="F87" s="3" t="inlineStr">
        <is>
          <t>A 2026 survey found more than half of insurers expect to increase private credit allocations over the next one to two years even as a tracked index of private-credit loans showed default rates climbing to 2.73% in Q1 2026.</t>
        </is>
      </c>
      <c r="G87" s="2" t="inlineStr">
        <is>
          <t>Alternative Credit Investor</t>
        </is>
      </c>
      <c r="H87" s="2" t="inlineStr">
        <is>
          <t>https://alternativecreditinvestor.com/2026/07/17/more-than-half-of-insurers-set-to-increase-private-credit-exposure/</t>
        </is>
      </c>
      <c r="I87" s="2" t="inlineStr">
        <is>
          <t>2026-07-17</t>
        </is>
      </c>
    </row>
    <row r="88">
      <c r="A88" s="2" t="inlineStr">
        <is>
          <t>2026-08-05</t>
        </is>
      </c>
      <c r="B88" s="2" t="inlineStr">
        <is>
          <t>Wealth Management</t>
        </is>
      </c>
      <c r="C88" s="2" t="inlineStr">
        <is>
          <t>M&amp;A</t>
        </is>
      </c>
      <c r="D88" s="2" t="inlineStr">
        <is>
          <t>United States</t>
        </is>
      </c>
      <c r="E88" s="3" t="inlineStr">
        <is>
          <t>Wealth Enhancement acquires $592M Chicago-area RIA Miramar Capital</t>
        </is>
      </c>
      <c r="F88" s="3" t="inlineStr">
        <is>
          <t>Wealth Enhancement Group announced the acquisition of Northbrook, Illinois-based Miramar Capital, an independent RIA managing more than $592 million in client assets.</t>
        </is>
      </c>
      <c r="G88" s="2" t="inlineStr">
        <is>
          <t>PR Newswire</t>
        </is>
      </c>
      <c r="H88" s="2" t="inlineStr">
        <is>
          <t>https://www.prnewswire.com/news-releases/wealth-enhancement-announces-acquisition-of-miramar-capital-an-independent-ria-with-over-592-million-in-client-assets-302842284.html</t>
        </is>
      </c>
      <c r="I88" s="2" t="inlineStr">
        <is>
          <t>2026-08-04</t>
        </is>
      </c>
    </row>
    <row r="89">
      <c r="A89" s="2" t="inlineStr">
        <is>
          <t>2026-08-05</t>
        </is>
      </c>
      <c r="B89" s="2" t="inlineStr">
        <is>
          <t>Wealth Management</t>
        </is>
      </c>
      <c r="C89" s="2" t="inlineStr">
        <is>
          <t>Market Economics</t>
        </is>
      </c>
      <c r="D89" s="2" t="inlineStr">
        <is>
          <t>United States</t>
        </is>
      </c>
      <c r="E89" s="3" t="inlineStr">
        <is>
          <t>RIA M&amp;A on pace for busiest year yet as market nears $4 trillion</t>
        </is>
      </c>
      <c r="F89" s="3" t="inlineStr">
        <is>
          <t>Cerulli Associates reports RIA consolidation is driving deal activity toward a record pace in 2026 as the independent advisory market approaches $4 trillion in assets.</t>
        </is>
      </c>
      <c r="G89" s="2" t="inlineStr">
        <is>
          <t>Cerulli Associates</t>
        </is>
      </c>
      <c r="H89" s="2" t="inlineStr">
        <is>
          <t>https://www.cerulli.com/press-releases/ria-consolidation-drives-m-a-activity-as-market-nears-4-trillion</t>
        </is>
      </c>
      <c r="I89" s="2" t="inlineStr">
        <is>
          <t>2026-07-20</t>
        </is>
      </c>
    </row>
    <row r="90">
      <c r="A90" s="2" t="inlineStr">
        <is>
          <t>2026-08-05</t>
        </is>
      </c>
      <c r="B90" s="2" t="inlineStr">
        <is>
          <t>Wealth Management</t>
        </is>
      </c>
      <c r="C90" s="2" t="inlineStr">
        <is>
          <t>Market Economics</t>
        </is>
      </c>
      <c r="D90" s="2" t="inlineStr">
        <is>
          <t>United States</t>
        </is>
      </c>
      <c r="E90" s="3" t="inlineStr">
        <is>
          <t>Advisors plan more M&amp;A and new services in 2026 survey finds</t>
        </is>
      </c>
      <c r="F90" s="3" t="inlineStr">
        <is>
          <t>WealthManagement.com's RIA Outlook survey found firms are planning increased M&amp;A activity and expanded service offerings, including tax and estate planning, through the rest of 2026.</t>
        </is>
      </c>
      <c r="G90" s="2" t="inlineStr">
        <is>
          <t>WealthManagement.com</t>
        </is>
      </c>
      <c r="H90" s="2" t="inlineStr">
        <is>
          <t>https://www.wealthmanagement.com/ria-news/ria-outlook-2026-more-m-a-new-services-planned-for-2026</t>
        </is>
      </c>
      <c r="I90" s="2" t="inlineStr">
        <is>
          <t>2026-07-10</t>
        </is>
      </c>
    </row>
    <row r="91">
      <c r="A91" s="2" t="inlineStr">
        <is>
          <t>2026-08-05</t>
        </is>
      </c>
      <c r="B91" s="2" t="inlineStr">
        <is>
          <t>Property &amp; Casualty</t>
        </is>
      </c>
      <c r="C91" s="2" t="inlineStr">
        <is>
          <t>M&amp;A</t>
        </is>
      </c>
      <c r="D91" s="2" t="inlineStr">
        <is>
          <t>United States</t>
        </is>
      </c>
      <c r="E91" s="3" t="inlineStr">
        <is>
          <t>American Family to acquire Bowhead Specialty in $1.2B all-cash deal</t>
        </is>
      </c>
      <c r="F91" s="3" t="inlineStr">
        <is>
          <t>American Family Mutual Insurance agreed to buy the remaining shares of specialty casualty and professional liability insurer Bowhead Specialty for about $1.2 billion, or $34 per share, deepening a partnership dating to Bowhead's 2020 founding.</t>
        </is>
      </c>
      <c r="G91" s="2" t="inlineStr">
        <is>
          <t>Insurance Journal</t>
        </is>
      </c>
      <c r="H91" s="2" t="inlineStr">
        <is>
          <t>https://www.insurancejournal.com/news/national/2026/08/03/879954.htm</t>
        </is>
      </c>
      <c r="I91" s="2" t="inlineStr">
        <is>
          <t>2026-08-03</t>
        </is>
      </c>
    </row>
    <row r="92">
      <c r="A92" s="2" t="inlineStr">
        <is>
          <t>2026-08-05</t>
        </is>
      </c>
      <c r="B92" s="2" t="inlineStr">
        <is>
          <t>Property &amp; Casualty</t>
        </is>
      </c>
      <c r="C92" s="2" t="inlineStr">
        <is>
          <t>Market Economics</t>
        </is>
      </c>
      <c r="D92" s="2" t="inlineStr">
        <is>
          <t>United States</t>
        </is>
      </c>
      <c r="E92" s="3" t="inlineStr">
        <is>
          <t>US wildfire activity running well above historical average in 2026</t>
        </is>
      </c>
      <c r="F92" s="3" t="inlineStr">
        <is>
          <t>More than 42000 fires had burned upward of 4.5 million acres across the US by July 2026, about 130% of the ten-year average, as wildfire's share of insured catastrophe losses keeps climbing.</t>
        </is>
      </c>
      <c r="G92" s="2" t="inlineStr">
        <is>
          <t>Willis Re</t>
        </is>
      </c>
      <c r="H92" s="2" t="inlineStr">
        <is>
          <t>https://www.willisre.com/news-and-insights/burning-cost-wildfire-risk-in-2026/</t>
        </is>
      </c>
      <c r="I92" s="2" t="inlineStr">
        <is>
          <t>2026-07-15</t>
        </is>
      </c>
    </row>
    <row r="93">
      <c r="A93" s="2" t="inlineStr">
        <is>
          <t>2026-08-05</t>
        </is>
      </c>
      <c r="B93" s="2" t="inlineStr">
        <is>
          <t>Property &amp; Casualty</t>
        </is>
      </c>
      <c r="C93" s="2" t="inlineStr">
        <is>
          <t>Market Economics</t>
        </is>
      </c>
      <c r="D93" s="2" t="inlineStr">
        <is>
          <t>United States</t>
        </is>
      </c>
      <c r="E93" s="3" t="inlineStr">
        <is>
          <t>Commercial P&amp;C pricing keeps softening as insurer profitability improves</t>
        </is>
      </c>
      <c r="F93" s="3" t="inlineStr">
        <is>
          <t>Analysts expect commercial insurance conditions to keep favoring buyers in 2026 as stronger insurer profitability and increased competition slow premium growth, even as catastrophe exposure remains elevated.</t>
        </is>
      </c>
      <c r="G93" s="2" t="inlineStr">
        <is>
          <t>Digital Insurance</t>
        </is>
      </c>
      <c r="H93" s="2" t="inlineStr">
        <is>
          <t>https://www.dig-in.com/news/property-and-casualty-insurance-predictions-for-2026</t>
        </is>
      </c>
      <c r="I93" s="2" t="inlineStr">
        <is>
          <t>2026-07-01</t>
        </is>
      </c>
    </row>
    <row r="94">
      <c r="A94" s="2" t="inlineStr">
        <is>
          <t>2026-08-05</t>
        </is>
      </c>
      <c r="B94" s="2" t="inlineStr">
        <is>
          <t>Property &amp; Casualty</t>
        </is>
      </c>
      <c r="C94" s="2" t="inlineStr">
        <is>
          <t>People &amp; Leadership</t>
        </is>
      </c>
      <c r="D94" s="2" t="inlineStr">
        <is>
          <t>United States</t>
        </is>
      </c>
      <c r="E94" s="3" t="inlineStr">
        <is>
          <t>Chubb names James Wixtead executive chairman of Chubb Tempest Re</t>
        </is>
      </c>
      <c r="F94" s="3" t="inlineStr">
        <is>
          <t>Chubb announced leadership changes at its global reinsurance arm, Chubb Tempest Re, naming James Wixtead executive chairman as part of a broader round of executive moves across Chubb, Marsh and Aon.</t>
        </is>
      </c>
      <c r="G94" s="2" t="inlineStr">
        <is>
          <t>Insurance Business America</t>
        </is>
      </c>
      <c r="H94" s="2" t="inlineStr">
        <is>
          <t>https://www.insurancebusinessmag.com/us/news/breaking-news/insurance-moves-chubb-marsh-aon-united-educators-igp-specialty-employers-more-584946.aspx</t>
        </is>
      </c>
      <c r="I94" s="2" t="inlineStr">
        <is>
          <t>2026-07-20</t>
        </is>
      </c>
    </row>
    <row r="95">
      <c r="A95" s="2" t="inlineStr">
        <is>
          <t>2026-08-05</t>
        </is>
      </c>
      <c r="B95" s="2" t="inlineStr">
        <is>
          <t>Brokers &amp; MGA/GA</t>
        </is>
      </c>
      <c r="C95" s="2" t="inlineStr">
        <is>
          <t>Regulatory &amp; Policy</t>
        </is>
      </c>
      <c r="D95" s="2" t="inlineStr">
        <is>
          <t>India</t>
        </is>
      </c>
      <c r="E95" s="3" t="inlineStr">
        <is>
          <t>IRDAI weighs staggered commission payouts to curb insurance mis-selling</t>
        </is>
      </c>
      <c r="F95" s="3" t="inlineStr">
        <is>
          <t>India's insurance regulator is considering replacing large upfront distributor commissions with payments staggered over a policy's life and linked to advisory service, aiming to improve persistency and curb mis-selling.</t>
        </is>
      </c>
      <c r="G95" s="2" t="inlineStr">
        <is>
          <t>Business Standard</t>
        </is>
      </c>
      <c r="H95" s="2" t="inlineStr">
        <is>
          <t>https://www.business-standard.com/finance/insurance/irdai-plans-overhaul-of-commission-rules-to-curb-insurance-misselling-126070300966_1.html</t>
        </is>
      </c>
      <c r="I95" s="2" t="inlineStr">
        <is>
          <t>2026-07-03</t>
        </is>
      </c>
    </row>
    <row r="96">
      <c r="A96" s="2" t="inlineStr">
        <is>
          <t>2026-08-05</t>
        </is>
      </c>
      <c r="B96" s="2" t="inlineStr">
        <is>
          <t>Brokers &amp; MGA/GA</t>
        </is>
      </c>
      <c r="C96" s="2" t="inlineStr">
        <is>
          <t>M&amp;A</t>
        </is>
      </c>
      <c r="D96" s="2" t="inlineStr">
        <is>
          <t>United States</t>
        </is>
      </c>
      <c r="E96" s="3" t="inlineStr">
        <is>
          <t>Gallagher's RPS unit acquires Kansas MGA Med James</t>
        </is>
      </c>
      <c r="F96" s="3" t="inlineStr">
        <is>
          <t>Arthur J. Gallagher's wholesale brokerage arm, Risk Placement Services, acquired Overland Park, Kansas-based managing general agency Med James, expanding its program and binding-authority footprint.</t>
        </is>
      </c>
      <c r="G96" s="2" t="inlineStr">
        <is>
          <t>Insurance Journal</t>
        </is>
      </c>
      <c r="H96" s="2" t="inlineStr">
        <is>
          <t>https://www.insurancejournal.com/news/midwest/2026/07/10/877074.htm</t>
        </is>
      </c>
      <c r="I96" s="2" t="inlineStr">
        <is>
          <t>2026-07-10</t>
        </is>
      </c>
    </row>
    <row r="97">
      <c r="A97" s="2" t="inlineStr">
        <is>
          <t>2026-08-05</t>
        </is>
      </c>
      <c r="B97" s="2" t="inlineStr">
        <is>
          <t>Brokers &amp; MGA/GA</t>
        </is>
      </c>
      <c r="C97" s="2" t="inlineStr">
        <is>
          <t>M&amp;A</t>
        </is>
      </c>
      <c r="D97" s="2" t="inlineStr">
        <is>
          <t>United States</t>
        </is>
      </c>
      <c r="E97" s="3" t="inlineStr">
        <is>
          <t>AI-driven MGA Mile Auto acquires Georgia's Insurance House</t>
        </is>
      </c>
      <c r="F97" s="3" t="inlineStr">
        <is>
          <t>Pay-per-mile insurer and MGA Mile Auto acquired 62-year-old agency network Insurance House, creating a combined platform serving more than 55000 policyholders and 1600 agencies across the Southeast.</t>
        </is>
      </c>
      <c r="G97" s="2" t="inlineStr">
        <is>
          <t>Insurance Journal</t>
        </is>
      </c>
      <c r="H97" s="2" t="inlineStr">
        <is>
          <t>https://www.insurancejournal.com/news/southeast/2026/07/13/877368.htm</t>
        </is>
      </c>
      <c r="I97" s="2" t="inlineStr">
        <is>
          <t>2026-07-13</t>
        </is>
      </c>
    </row>
    <row r="98">
      <c r="A98" s="2" t="inlineStr">
        <is>
          <t>2026-08-05</t>
        </is>
      </c>
      <c r="B98" s="2" t="inlineStr">
        <is>
          <t>Brokers &amp; MGA/GA</t>
        </is>
      </c>
      <c r="C98" s="2" t="inlineStr">
        <is>
          <t>People &amp; Leadership</t>
        </is>
      </c>
      <c r="D98" s="2" t="inlineStr">
        <is>
          <t>United States</t>
        </is>
      </c>
      <c r="E98" s="3" t="inlineStr">
        <is>
          <t>HDI Global names Justin Gress COO of its US business</t>
        </is>
      </c>
      <c r="F98" s="3" t="inlineStr">
        <is>
          <t>HDI Global appointed Justin Gress as chief operating officer for its US operations, part of a wave of senior insurance leadership moves reported in late July.</t>
        </is>
      </c>
      <c r="G98" s="2" t="inlineStr">
        <is>
          <t>Insurance Business America</t>
        </is>
      </c>
      <c r="H98" s="2" t="inlineStr">
        <is>
          <t>https://www.insurancebusinessmag.com/us/news/breaking-news/insurance-moves-insurity-crc-benefits-hdi-global-and-epic-580870.aspx</t>
        </is>
      </c>
      <c r="I98" s="2" t="inlineStr">
        <is>
          <t>2026-07-15</t>
        </is>
      </c>
    </row>
    <row r="99">
      <c r="A99" s="2" t="inlineStr">
        <is>
          <t>2026-08-05</t>
        </is>
      </c>
      <c r="B99" s="2" t="inlineStr">
        <is>
          <t>TPA</t>
        </is>
      </c>
      <c r="C99" s="2" t="inlineStr">
        <is>
          <t>Regulatory &amp; Policy</t>
        </is>
      </c>
      <c r="D99" s="2" t="inlineStr">
        <is>
          <t>United States</t>
        </is>
      </c>
      <c r="E99" s="3" t="inlineStr">
        <is>
          <t>New CAA and DOL rules expand disclosure duties for TPAs and PBMs</t>
        </is>
      </c>
      <c r="F99" s="3" t="inlineStr">
        <is>
          <t>The Consolidated Appropriations Act of 2026 and a proposed DOL rule extend compensation-disclosure requirements to third-party administrators, PBMs and stop-loss insurers servicing self-funded health plans, with plan sponsors on the hook if service providers fail to comply.</t>
        </is>
      </c>
      <c r="G99" s="2" t="inlineStr">
        <is>
          <t>Claim Informatics</t>
        </is>
      </c>
      <c r="H99" s="2" t="inlineStr">
        <is>
          <t>https://www.claiminformatics.com/post/caa-2026-and-the-dol-s-expanded-enforcement-what-every-self-funded-plan-fiduciary-must-know-now</t>
        </is>
      </c>
      <c r="I99" s="2" t="inlineStr">
        <is>
          <t>2026-07-20</t>
        </is>
      </c>
    </row>
    <row r="100">
      <c r="A100" s="2" t="inlineStr">
        <is>
          <t>2026-08-05</t>
        </is>
      </c>
      <c r="B100" s="2" t="inlineStr">
        <is>
          <t>TPA</t>
        </is>
      </c>
      <c r="C100" s="2" t="inlineStr">
        <is>
          <t>Technology &amp; AI</t>
        </is>
      </c>
      <c r="D100" s="2" t="inlineStr">
        <is>
          <t>Global</t>
        </is>
      </c>
      <c r="E100" s="3" t="inlineStr">
        <is>
          <t>AI-driven claims automation seen powering TPA market growth through 2030</t>
        </is>
      </c>
      <c r="F100" s="3" t="inlineStr">
        <is>
          <t>A global market report pegs insurance third-party administrator revenue growth at roughly 8-9% annually, crediting AI-driven claims automation and rising demand for scalable outsourced administration platforms.</t>
        </is>
      </c>
      <c r="G100" s="2" t="inlineStr">
        <is>
          <t>GlobeNewswire</t>
        </is>
      </c>
      <c r="H100" s="2" t="inlineStr">
        <is>
          <t>https://www.globenewswire.com/news-release/2026/04/27/3281499/0/en/insurance-third-party-administrators-tpas-global-market-report-2026-yoy-revenue-grew-by-32-billion-ai-driven-claims-automation-to-boost-insurance-tpa-growth-through-2030.html</t>
        </is>
      </c>
      <c r="I100" s="2" t="inlineStr">
        <is>
          <t>2026-04-27</t>
        </is>
      </c>
    </row>
    <row r="101">
      <c r="A101" s="2" t="inlineStr">
        <is>
          <t>2026-08-05</t>
        </is>
      </c>
      <c r="B101" s="2" t="inlineStr">
        <is>
          <t>FinTech</t>
        </is>
      </c>
      <c r="C101" s="2" t="inlineStr">
        <is>
          <t>Technology &amp; AI</t>
        </is>
      </c>
      <c r="D101" s="2" t="inlineStr">
        <is>
          <t>UK/Europe</t>
        </is>
      </c>
      <c r="E101" s="3" t="inlineStr">
        <is>
          <t>NatWest partners with Uinsure to launch instant home insurance and a policy tracker</t>
        </is>
      </c>
      <c r="F101" s="3" t="inlineStr">
        <is>
          <t>NatWest launched an exclusive partnership with insurtech Uinsure offering home insurance quotes in under 60 seconds plus an in-app tracker that flags better-value cover, after research found roughly half of homeowners hadn't reviewed their policy value in a year.</t>
        </is>
      </c>
      <c r="G101" s="2" t="inlineStr">
        <is>
          <t>Finextra</t>
        </is>
      </c>
      <c r="H101" s="2" t="inlineStr">
        <is>
          <t>https://www.finextra.com/newsarticle/48165/natwest-teams-with-uinsure-to-deliver-home-insurance-quotes-in-seconds</t>
        </is>
      </c>
      <c r="I101" s="2" t="inlineStr">
        <is>
          <t>2026-07-28</t>
        </is>
      </c>
    </row>
    <row r="102">
      <c r="A102" s="2" t="inlineStr">
        <is>
          <t>2026-08-05</t>
        </is>
      </c>
      <c r="B102" s="2" t="inlineStr">
        <is>
          <t>FinTech</t>
        </is>
      </c>
      <c r="C102" s="2" t="inlineStr">
        <is>
          <t>Technology &amp; AI</t>
        </is>
      </c>
      <c r="D102" s="2" t="inlineStr">
        <is>
          <t>United States</t>
        </is>
      </c>
      <c r="E102" s="3" t="inlineStr">
        <is>
          <t>Banking infrastructure startup Increase launches FDIC-member bank for fintech builders</t>
        </is>
      </c>
      <c r="F102" s="3" t="inlineStr">
        <is>
          <t>Increase launched a chartered FDIC-member bank aimed at giving fintech companies more direct and reliable access to core banking infrastructure.</t>
        </is>
      </c>
      <c r="G102" s="2" t="inlineStr">
        <is>
          <t>FinTech Global</t>
        </is>
      </c>
      <c r="H102" s="2" t="inlineStr">
        <is>
          <t>https://fintech.global/2026/07/31/increase-launches-fdic-member-bank-for-fintech-builders/</t>
        </is>
      </c>
      <c r="I102" s="2" t="inlineStr">
        <is>
          <t>2026-07-31</t>
        </is>
      </c>
    </row>
    <row r="103">
      <c r="A103" s="2" t="inlineStr">
        <is>
          <t>2026-08-05</t>
        </is>
      </c>
      <c r="B103" s="2" t="inlineStr">
        <is>
          <t>BrokerTech</t>
        </is>
      </c>
      <c r="C103" s="2" t="inlineStr">
        <is>
          <t>Technology &amp; AI</t>
        </is>
      </c>
      <c r="D103" s="2" t="inlineStr">
        <is>
          <t>United States</t>
        </is>
      </c>
      <c r="E103" s="3" t="inlineStr">
        <is>
          <t>BrokerTech Ventures names 2026 accelerator cohort of nine insurtech startups</t>
        </is>
      </c>
      <c r="F103" s="3" t="inlineStr">
        <is>
          <t>BrokerTech Ventures selected nine startups for its 2026 accelerator, each receiving $50000 in seed funding and access to BTV's broker and carrier network to pilot their technology.</t>
        </is>
      </c>
      <c r="G103" s="2" t="inlineStr">
        <is>
          <t>PR Newswire</t>
        </is>
      </c>
      <c r="H103" s="2" t="inlineStr">
        <is>
          <t>https://www.prnewswire.com/news-releases/brokertech-ventures-announces-2026-accelerator-cohort-sponsors-global-insurance-symposium-and-announces-dates-for-brokertech-connect-2026-302729482.html</t>
        </is>
      </c>
      <c r="I103" s="2" t="inlineStr">
        <is>
          <t>2026-06-15</t>
        </is>
      </c>
    </row>
    <row r="104">
      <c r="A104" s="2" t="inlineStr">
        <is>
          <t>2026-08-05</t>
        </is>
      </c>
      <c r="B104" s="2" t="inlineStr">
        <is>
          <t>BrokerTech</t>
        </is>
      </c>
      <c r="C104" s="2" t="inlineStr">
        <is>
          <t>People &amp; Leadership</t>
        </is>
      </c>
      <c r="D104" s="2" t="inlineStr">
        <is>
          <t>United States</t>
        </is>
      </c>
      <c r="E104" s="3" t="inlineStr">
        <is>
          <t>BrokerTech Connect Chicago 2026 set to convene broker and insurtech leaders</t>
        </is>
      </c>
      <c r="F104" s="3" t="inlineStr">
        <is>
          <t>BrokerTech Ventures announced its second annual BrokerTech Connect conference for September 1-2 2026 in Chicago, bringing together C-suite executives from brokerages, carriers, wholesalers and insurtech startups.</t>
        </is>
      </c>
      <c r="G104" s="2" t="inlineStr">
        <is>
          <t>PR Newswire</t>
        </is>
      </c>
      <c r="H104" s="2" t="inlineStr">
        <is>
          <t>https://www.prnewswire.com/news-releases/brokertech-ventures-announces-brokertech-connect-chicago-2026-bringing-together-insurance-and-insurtech-leaders-302804627.html</t>
        </is>
      </c>
      <c r="I104" s="2" t="inlineStr">
        <is>
          <t>2026-07-22</t>
        </is>
      </c>
    </row>
    <row r="105">
      <c r="A105" s="2" t="inlineStr">
        <is>
          <t>2026-08-05</t>
        </is>
      </c>
      <c r="B105" s="2" t="inlineStr">
        <is>
          <t>Insurtech</t>
        </is>
      </c>
      <c r="C105" s="2" t="inlineStr">
        <is>
          <t>Investments &amp; Funding</t>
        </is>
      </c>
      <c r="D105" s="2" t="inlineStr">
        <is>
          <t>United States</t>
        </is>
      </c>
      <c r="E105" s="3" t="inlineStr">
        <is>
          <t>AI insurance startup Corgi hits $4B valuation in third funding round in eight weeks</t>
        </is>
      </c>
      <c r="F105" s="3" t="inlineStr">
        <is>
          <t>Corgi, which sells AI-underwritten D&amp;O, cyber and AI-liability coverage to tech startups, saw its valuation roughly double again to $4 billion just weeks after a $2.6 billion round, with revenue reportedly on track to reach a $450 million annualized run rate by year-end.</t>
        </is>
      </c>
      <c r="G105" s="2" t="inlineStr">
        <is>
          <t>TechCrunch</t>
        </is>
      </c>
      <c r="H105" s="2" t="inlineStr">
        <is>
          <t>https://techcrunch.com/2026/07/23/insurance-startup-corgi-reportedly-raised-more-money-at-4b-its-third-round-in-eight-weeks/</t>
        </is>
      </c>
      <c r="I105" s="2" t="inlineStr">
        <is>
          <t>2026-07-23</t>
        </is>
      </c>
    </row>
    <row r="106">
      <c r="A106" s="2" t="inlineStr">
        <is>
          <t>2026-08-05</t>
        </is>
      </c>
      <c r="B106" s="2" t="inlineStr">
        <is>
          <t>Insurtech</t>
        </is>
      </c>
      <c r="C106" s="2" t="inlineStr">
        <is>
          <t>Investments &amp; Funding</t>
        </is>
      </c>
      <c r="D106" s="2" t="inlineStr">
        <is>
          <t>Global</t>
        </is>
      </c>
      <c r="E106" s="3" t="inlineStr">
        <is>
          <t>Global insurtech funding tops $1.5B through Q2 2026 already topping all of 2025</t>
        </is>
      </c>
      <c r="F106" s="3" t="inlineStr">
        <is>
          <t>Gallagher Re's latest report shows insurtech funding accelerating sharply in 2026, with AI-focused companies capturing the vast majority of capital and North America drawing the bulk of deals and dollars.</t>
        </is>
      </c>
      <c r="G106" s="2" t="inlineStr">
        <is>
          <t>Reinsurance News</t>
        </is>
      </c>
      <c r="H106" s="2" t="inlineStr">
        <is>
          <t>https://www.reinsurancene.ws/global-insurtech-funding-holds-firm-as-ai-dominates-q126-investment-gallagher-re/</t>
        </is>
      </c>
      <c r="I106" s="2" t="inlineStr">
        <is>
          <t>2026-05-15</t>
        </is>
      </c>
    </row>
    <row r="107">
      <c r="A107" s="2" t="inlineStr">
        <is>
          <t>2026-08-05</t>
        </is>
      </c>
      <c r="B107" s="2" t="inlineStr">
        <is>
          <t>Insurtech</t>
        </is>
      </c>
      <c r="C107" s="2" t="inlineStr">
        <is>
          <t>Technology &amp; AI</t>
        </is>
      </c>
      <c r="D107" s="2" t="inlineStr">
        <is>
          <t>India</t>
        </is>
      </c>
      <c r="E107" s="3" t="inlineStr">
        <is>
          <t>India's Bima Sugam digital insurance marketplace targets phased September launch</t>
        </is>
      </c>
      <c r="F107" s="3" t="inlineStr">
        <is>
          <t>IRDAI's long-delayed Bima Sugam platform is rolling out in phases, starting with motor insurance in July, health insurance in August and term life products by September 2026, as insurers complete technology integration.</t>
        </is>
      </c>
      <c r="G107" s="2" t="inlineStr">
        <is>
          <t>Business Standard</t>
        </is>
      </c>
      <c r="H107" s="2" t="inlineStr">
        <is>
          <t>https://www.business-standard.com/finance/insurance/bima-sugam-to-launch-initial-products-by-sept-end-irdai-chairman-seth-126063000744_1.html</t>
        </is>
      </c>
      <c r="I107" s="2" t="inlineStr">
        <is>
          <t>2026-06-30</t>
        </is>
      </c>
    </row>
    <row r="108">
      <c r="A108" s="2" t="inlineStr">
        <is>
          <t>2026-08-05</t>
        </is>
      </c>
      <c r="B108" s="2" t="inlineStr">
        <is>
          <t>Health Insurance / Payer</t>
        </is>
      </c>
      <c r="C108" s="2" t="inlineStr">
        <is>
          <t>Regulatory &amp; Policy</t>
        </is>
      </c>
      <c r="D108" s="2" t="inlineStr">
        <is>
          <t>United States</t>
        </is>
      </c>
      <c r="E108" s="3" t="inlineStr">
        <is>
          <t>UnitedHealthcare to exit some Medicare Advantage PPO plans affecting 600000 members</t>
        </is>
      </c>
      <c r="F108" s="3" t="inlineStr">
        <is>
          <t>UnitedHealthcare said it will pull out of certain Medicare Advantage PPO plans as new CMS marketing rules take effect October 1 2026, raising switching risk for affected enrollees amid broader industry benefit pullbacks.</t>
        </is>
      </c>
      <c r="G108" s="2" t="inlineStr">
        <is>
          <t>RiseHealth</t>
        </is>
      </c>
      <c r="H108" s="2" t="inlineStr">
        <is>
          <t>https://risehealth.org/insights-articles/more-insurers-expect-to-pull-some-medicare-advantage-plans-from-the-market</t>
        </is>
      </c>
      <c r="I108" s="2" t="inlineStr">
        <is>
          <t>2026-07-25</t>
        </is>
      </c>
    </row>
    <row r="109">
      <c r="A109" s="2" t="inlineStr">
        <is>
          <t>2026-08-05</t>
        </is>
      </c>
      <c r="B109" s="2" t="inlineStr">
        <is>
          <t>Health Insurance / Payer</t>
        </is>
      </c>
      <c r="C109" s="2" t="inlineStr">
        <is>
          <t>Regulatory &amp; Policy</t>
        </is>
      </c>
      <c r="D109" s="2" t="inlineStr">
        <is>
          <t>United States</t>
        </is>
      </c>
      <c r="E109" s="3" t="inlineStr">
        <is>
          <t>FTC settlement forces Caremark to overhaul PBM pricing and pharmacy practices</t>
        </is>
      </c>
      <c r="F109" s="3" t="inlineStr">
        <is>
          <t>The FTC secured a settlement with CVS's Caremark and Zinc Health Services requiring changes to formulary design, rebating and pharmacy reimbursement practices that regulators say could lock in billions in consumer drug-cost savings over the next decade.</t>
        </is>
      </c>
      <c r="G109" s="2" t="inlineStr">
        <is>
          <t>Federal Trade Commission</t>
        </is>
      </c>
      <c r="H109" s="2" t="inlineStr">
        <is>
          <t>https://www.ftc.gov/news-events/news/press-releases/2026/07/ftc-secures-major-settlement-caremark-resolving-antitrust-case-against-second-drug-middleman</t>
        </is>
      </c>
      <c r="I109" s="2" t="inlineStr">
        <is>
          <t>2026-07-14</t>
        </is>
      </c>
    </row>
    <row r="110">
      <c r="A110" s="2" t="inlineStr">
        <is>
          <t>2026-08-05</t>
        </is>
      </c>
      <c r="B110" s="2" t="inlineStr">
        <is>
          <t>Health Insurance / Payer</t>
        </is>
      </c>
      <c r="C110" s="2" t="inlineStr">
        <is>
          <t>M&amp;A</t>
        </is>
      </c>
      <c r="D110" s="2" t="inlineStr">
        <is>
          <t>India</t>
        </is>
      </c>
      <c r="E110" s="3" t="inlineStr">
        <is>
          <t>Prudential-HCL joint venture becomes India's eighth standalone health insurer</t>
        </is>
      </c>
      <c r="F110" s="3" t="inlineStr">
        <is>
          <t>IRDAI granted a health insurance license to Prudential HCL Health Insurance, a 70:30 joint venture between UK-based Prudential and HCL Group's Vama Sundari Investments, marking the regulator's third new insurer registration of 2026.</t>
        </is>
      </c>
      <c r="G110" s="2" t="inlineStr">
        <is>
          <t>Business Standard</t>
        </is>
      </c>
      <c r="H110" s="2" t="inlineStr">
        <is>
          <t>https://www.business-standard.com/amp/finance/insurance/irdai-grants-health-insurance-licence-to-prudential-hcl-joint-venture-126070101348_1.html</t>
        </is>
      </c>
      <c r="I110" s="2" t="inlineStr">
        <is>
          <t>2026-07-01</t>
        </is>
      </c>
    </row>
    <row r="111">
      <c r="A111" s="2" t="inlineStr">
        <is>
          <t>2026-08-05</t>
        </is>
      </c>
      <c r="B111" s="2" t="inlineStr">
        <is>
          <t>Healthcare / Provider &amp; Clinical</t>
        </is>
      </c>
      <c r="C111" s="2" t="inlineStr">
        <is>
          <t>Market Economics</t>
        </is>
      </c>
      <c r="D111" s="2" t="inlineStr">
        <is>
          <t>United States</t>
        </is>
      </c>
      <c r="E111" s="3" t="inlineStr">
        <is>
          <t>Hospital sector braces for federal funding cuts after a period of financial recovery</t>
        </is>
      </c>
      <c r="F111" s="3" t="inlineStr">
        <is>
          <t>Fitch Ratings says the tone across roughly 222 not-for-profit hospitals and health systems has turned more cautious as a multi-year financial recovery meets incoming federal policy cuts and an aging population.</t>
        </is>
      </c>
      <c r="G111" s="2" t="inlineStr">
        <is>
          <t>Bloomberg</t>
        </is>
      </c>
      <c r="H111" s="2" t="inlineStr">
        <is>
          <t>https://www.bloomberg.com/news/articles/2026-08-04/hospital-sector-to-see-k-shaped-path-with-federal-cuts-expected</t>
        </is>
      </c>
      <c r="I111" s="2" t="inlineStr">
        <is>
          <t>2026-08-04</t>
        </is>
      </c>
    </row>
    <row r="112">
      <c r="A112" s="2" t="inlineStr">
        <is>
          <t>2026-08-05</t>
        </is>
      </c>
      <c r="B112" s="2" t="inlineStr">
        <is>
          <t>Healthcare / Provider &amp; Clinical</t>
        </is>
      </c>
      <c r="C112" s="2" t="inlineStr">
        <is>
          <t>M&amp;A</t>
        </is>
      </c>
      <c r="D112" s="2" t="inlineStr">
        <is>
          <t>United States</t>
        </is>
      </c>
      <c r="E112" s="3" t="inlineStr">
        <is>
          <t>US hospital M&amp;A rebounds to 40 deals in first half of 2026</t>
        </is>
      </c>
      <c r="F112" s="3" t="inlineStr">
        <is>
          <t>Hospital mergers and acquisitions rebounded sharply in H1 2026 after 2025 produced just 46 deals for the full year, the smallest annual total in 15 years, with momentum expected to continue.</t>
        </is>
      </c>
      <c r="G112" s="2" t="inlineStr">
        <is>
          <t>Chief Healthcare Executive</t>
        </is>
      </c>
      <c r="H112" s="2" t="inlineStr">
        <is>
          <t>https://www.chiefhealthcareexecutive.com/view/more-hospital-mergers-in-first-half-of-2026-and-momentum-may-continue</t>
        </is>
      </c>
      <c r="I112" s="2" t="inlineStr">
        <is>
          <t>2026-07-10</t>
        </is>
      </c>
    </row>
    <row r="113">
      <c r="A113" s="2" t="inlineStr">
        <is>
          <t>2026-08-05</t>
        </is>
      </c>
      <c r="B113" s="2" t="inlineStr">
        <is>
          <t>Healthcare / Provider &amp; Clinical</t>
        </is>
      </c>
      <c r="C113" s="2" t="inlineStr">
        <is>
          <t>Technology &amp; AI</t>
        </is>
      </c>
      <c r="D113" s="2" t="inlineStr">
        <is>
          <t>United States</t>
        </is>
      </c>
      <c r="E113" s="3" t="inlineStr">
        <is>
          <t>Intermountain Health cuts documentation time 27% with Microsoft's Dragon Copilot</t>
        </is>
      </c>
      <c r="F113" s="3" t="inlineStr">
        <is>
          <t>Intermountain Health scaled Microsoft's Dragon Copilot ambient AI to more than 2500 clinicians, who saw a 27% reduction in time spent on notes per appointment based on Epic usage data through December 2025.</t>
        </is>
      </c>
      <c r="G113" s="2" t="inlineStr">
        <is>
          <t>Microsoft Customer Stories</t>
        </is>
      </c>
      <c r="H113" s="2" t="inlineStr">
        <is>
          <t>https://www.microsoft.com/en/customers/story/25891-intermountain-health-microsoft-dragon-copilot</t>
        </is>
      </c>
      <c r="I113" s="2" t="inlineStr">
        <is>
          <t>2026-07-15</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26"/>
  <sheetViews>
    <sheetView workbookViewId="0">
      <selection activeCell="A1" sqref="A1"/>
    </sheetView>
  </sheetViews>
  <sheetFormatPr baseColWidth="8" defaultRowHeight="15"/>
  <cols>
    <col width="34" customWidth="1" min="1" max="1"/>
    <col width="10" customWidth="1" min="2" max="2"/>
    <col width="3" customWidth="1" min="3" max="3"/>
    <col width="24" customWidth="1" min="4" max="4"/>
    <col width="10" customWidth="1" min="5" max="5"/>
    <col width="3" customWidth="1" min="6" max="6"/>
    <col width="18" customWidth="1" min="7" max="7"/>
    <col width="10" customWidth="1" min="8" max="8"/>
  </cols>
  <sheetData>
    <row r="1">
      <c r="A1" s="4" t="inlineStr">
        <is>
          <t>Industry Intelligence Cockpit — Rolling 30-Day Story Summary</t>
        </is>
      </c>
    </row>
    <row r="2">
      <c r="A2" s="5" t="inlineStr">
        <is>
          <t>Window: 2026-07-06 to 2026-08-05  |  Source: cockpit-data/story-log.csv, tab 'Raw Rows'</t>
        </is>
      </c>
    </row>
    <row r="4">
      <c r="A4" s="6" t="inlineStr">
        <is>
          <t>Stories by Vertical</t>
        </is>
      </c>
      <c r="B4" s="6" t="inlineStr">
        <is>
          <t>Count</t>
        </is>
      </c>
      <c r="D4" s="6" t="inlineStr">
        <is>
          <t>Stories by Lens</t>
        </is>
      </c>
      <c r="E4" s="6" t="inlineStr">
        <is>
          <t>Count</t>
        </is>
      </c>
      <c r="G4" s="6" t="inlineStr">
        <is>
          <t>Stories by Geography</t>
        </is>
      </c>
      <c r="H4" s="6" t="inlineStr">
        <is>
          <t>Count</t>
        </is>
      </c>
    </row>
    <row r="5">
      <c r="A5" s="7" t="inlineStr">
        <is>
          <t>Life &amp; Annuities</t>
        </is>
      </c>
      <c r="B5" s="7">
        <f>COUNTIFS('Raw Rows'!$B$2:$B$113,A5)</f>
        <v/>
      </c>
      <c r="D5" s="7" t="inlineStr">
        <is>
          <t>M&amp;A</t>
        </is>
      </c>
      <c r="E5" s="7">
        <f>COUNTIFS('Raw Rows'!$C$2:$C$113,D5)</f>
        <v/>
      </c>
      <c r="G5" s="7" t="inlineStr">
        <is>
          <t>United States</t>
        </is>
      </c>
      <c r="H5" s="7">
        <f>COUNTIFS('Raw Rows'!$D$2:$D$113,G5)</f>
        <v/>
      </c>
    </row>
    <row r="6">
      <c r="A6" s="7" t="inlineStr">
        <is>
          <t>Retirement</t>
        </is>
      </c>
      <c r="B6" s="7">
        <f>COUNTIFS('Raw Rows'!$B$2:$B$113,A6)</f>
        <v/>
      </c>
      <c r="D6" s="7" t="inlineStr">
        <is>
          <t>Investments &amp; Funding</t>
        </is>
      </c>
      <c r="E6" s="7">
        <f>COUNTIFS('Raw Rows'!$C$2:$C$113,D6)</f>
        <v/>
      </c>
      <c r="G6" s="7" t="inlineStr">
        <is>
          <t>India</t>
        </is>
      </c>
      <c r="H6" s="7">
        <f>COUNTIFS('Raw Rows'!$D$2:$D$113,G6)</f>
        <v/>
      </c>
    </row>
    <row r="7">
      <c r="A7" s="7" t="inlineStr">
        <is>
          <t>Investments</t>
        </is>
      </c>
      <c r="B7" s="7">
        <f>COUNTIFS('Raw Rows'!$B$2:$B$113,A7)</f>
        <v/>
      </c>
      <c r="D7" s="7" t="inlineStr">
        <is>
          <t>Technology &amp; AI</t>
        </is>
      </c>
      <c r="E7" s="7">
        <f>COUNTIFS('Raw Rows'!$C$2:$C$113,D7)</f>
        <v/>
      </c>
      <c r="G7" s="7" t="inlineStr">
        <is>
          <t>UK/Europe</t>
        </is>
      </c>
      <c r="H7" s="7">
        <f>COUNTIFS('Raw Rows'!$D$2:$D$113,G7)</f>
        <v/>
      </c>
    </row>
    <row r="8">
      <c r="A8" s="7" t="inlineStr">
        <is>
          <t>Wealth Management</t>
        </is>
      </c>
      <c r="B8" s="7">
        <f>COUNTIFS('Raw Rows'!$B$2:$B$113,A8)</f>
        <v/>
      </c>
      <c r="D8" s="7" t="inlineStr">
        <is>
          <t>Market Economics</t>
        </is>
      </c>
      <c r="E8" s="7">
        <f>COUNTIFS('Raw Rows'!$C$2:$C$113,D8)</f>
        <v/>
      </c>
      <c r="G8" s="7" t="inlineStr">
        <is>
          <t>APAC</t>
        </is>
      </c>
      <c r="H8" s="7">
        <f>COUNTIFS('Raw Rows'!$D$2:$D$113,G8)</f>
        <v/>
      </c>
    </row>
    <row r="9">
      <c r="A9" s="7" t="inlineStr">
        <is>
          <t>Property &amp; Casualty</t>
        </is>
      </c>
      <c r="B9" s="7">
        <f>COUNTIFS('Raw Rows'!$B$2:$B$113,A9)</f>
        <v/>
      </c>
      <c r="D9" s="7" t="inlineStr">
        <is>
          <t>Regulatory &amp; Policy</t>
        </is>
      </c>
      <c r="E9" s="7">
        <f>COUNTIFS('Raw Rows'!$C$2:$C$113,D9)</f>
        <v/>
      </c>
      <c r="G9" s="7" t="inlineStr">
        <is>
          <t>Global</t>
        </is>
      </c>
      <c r="H9" s="7">
        <f>COUNTIFS('Raw Rows'!$D$2:$D$113,G9)</f>
        <v/>
      </c>
    </row>
    <row r="10">
      <c r="A10" s="7" t="inlineStr">
        <is>
          <t>Brokers &amp; MGA/GA</t>
        </is>
      </c>
      <c r="B10" s="7">
        <f>COUNTIFS('Raw Rows'!$B$2:$B$113,A10)</f>
        <v/>
      </c>
      <c r="D10" s="7" t="inlineStr">
        <is>
          <t>People &amp; Leadership</t>
        </is>
      </c>
      <c r="E10" s="7">
        <f>COUNTIFS('Raw Rows'!$C$2:$C$113,D10)</f>
        <v/>
      </c>
      <c r="G10" s="8" t="inlineStr">
        <is>
          <t>Total</t>
        </is>
      </c>
      <c r="H10" s="8">
        <f>SUM(H5:H9)</f>
        <v/>
      </c>
    </row>
    <row r="11">
      <c r="A11" s="7" t="inlineStr">
        <is>
          <t>TPA</t>
        </is>
      </c>
      <c r="B11" s="7">
        <f>COUNTIFS('Raw Rows'!$B$2:$B$113,A11)</f>
        <v/>
      </c>
      <c r="D11" s="8" t="inlineStr">
        <is>
          <t>Total</t>
        </is>
      </c>
      <c r="E11" s="8">
        <f>SUM(E5:E10)</f>
        <v/>
      </c>
    </row>
    <row r="12">
      <c r="A12" s="7" t="inlineStr">
        <is>
          <t>FinTech</t>
        </is>
      </c>
      <c r="B12" s="7">
        <f>COUNTIFS('Raw Rows'!$B$2:$B$113,A12)</f>
        <v/>
      </c>
    </row>
    <row r="13">
      <c r="A13" s="7" t="inlineStr">
        <is>
          <t>BrokerTech</t>
        </is>
      </c>
      <c r="B13" s="7">
        <f>COUNTIFS('Raw Rows'!$B$2:$B$113,A13)</f>
        <v/>
      </c>
    </row>
    <row r="14">
      <c r="A14" s="7" t="inlineStr">
        <is>
          <t>Insurtech</t>
        </is>
      </c>
      <c r="B14" s="7">
        <f>COUNTIFS('Raw Rows'!$B$2:$B$113,A14)</f>
        <v/>
      </c>
    </row>
    <row r="15">
      <c r="A15" s="7" t="inlineStr">
        <is>
          <t>Health Insurance / Payer</t>
        </is>
      </c>
      <c r="B15" s="7">
        <f>COUNTIFS('Raw Rows'!$B$2:$B$113,A15)</f>
        <v/>
      </c>
    </row>
    <row r="16">
      <c r="A16" s="7" t="inlineStr">
        <is>
          <t>Healthcare / Provider &amp; Clinical</t>
        </is>
      </c>
      <c r="B16" s="7">
        <f>COUNTIFS('Raw Rows'!$B$2:$B$113,A16)</f>
        <v/>
      </c>
    </row>
    <row r="17">
      <c r="A17" s="8" t="inlineStr">
        <is>
          <t>Total</t>
        </is>
      </c>
      <c r="B17" s="8">
        <f>SUM(B5:B16)</f>
        <v/>
      </c>
    </row>
    <row r="20">
      <c r="A20" s="6" t="inlineStr">
        <is>
          <t>Stories by Week (week starting Monday)</t>
        </is>
      </c>
      <c r="B20" s="6" t="inlineStr">
        <is>
          <t>Count</t>
        </is>
      </c>
    </row>
    <row r="21">
      <c r="A21" s="7" t="inlineStr">
        <is>
          <t>2026-07-06 to 2026-07-12</t>
        </is>
      </c>
      <c r="B21" s="7">
        <f>COUNTIFS('Raw Rows'!$A$2:$A$113,"&gt;="&amp;"2026-07-06",'Raw Rows'!$A$2:$A$113,"&lt;="&amp;"2026-07-12")</f>
        <v/>
      </c>
    </row>
    <row r="22">
      <c r="A22" s="7" t="inlineStr">
        <is>
          <t>2026-07-13 to 2026-07-19</t>
        </is>
      </c>
      <c r="B22" s="7">
        <f>COUNTIFS('Raw Rows'!$A$2:$A$113,"&gt;="&amp;"2026-07-13",'Raw Rows'!$A$2:$A$113,"&lt;="&amp;"2026-07-19")</f>
        <v/>
      </c>
    </row>
    <row r="23">
      <c r="A23" s="7" t="inlineStr">
        <is>
          <t>2026-07-20 to 2026-07-26</t>
        </is>
      </c>
      <c r="B23" s="7">
        <f>COUNTIFS('Raw Rows'!$A$2:$A$113,"&gt;="&amp;"2026-07-20",'Raw Rows'!$A$2:$A$113,"&lt;="&amp;"2026-07-26")</f>
        <v/>
      </c>
    </row>
    <row r="24">
      <c r="A24" s="7" t="inlineStr">
        <is>
          <t>2026-07-27 to 2026-08-02</t>
        </is>
      </c>
      <c r="B24" s="7">
        <f>COUNTIFS('Raw Rows'!$A$2:$A$113,"&gt;="&amp;"2026-07-27",'Raw Rows'!$A$2:$A$113,"&lt;="&amp;"2026-08-02")</f>
        <v/>
      </c>
    </row>
    <row r="25">
      <c r="A25" s="7" t="inlineStr">
        <is>
          <t>2026-08-03 to 2026-08-09</t>
        </is>
      </c>
      <c r="B25" s="7">
        <f>COUNTIFS('Raw Rows'!$A$2:$A$113,"&gt;="&amp;"2026-08-03",'Raw Rows'!$A$2:$A$113,"&lt;="&amp;"2026-08-09")</f>
        <v/>
      </c>
    </row>
    <row r="26">
      <c r="A26" s="8" t="inlineStr">
        <is>
          <t>Total</t>
        </is>
      </c>
      <c r="B26" s="8">
        <f>SUM(B21:B25)</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2026-08-05T10:24:48Z</dcterms:created>
  <dcterms:modified xsi:type="dcterms:W3CDTF">2026-08-05T10:35:02Z</dcterms:modified>
</cp:coreProperties>
</file>